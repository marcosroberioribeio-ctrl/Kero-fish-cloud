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1786824\Documents\"/>
    </mc:Choice>
  </mc:AlternateContent>
  <bookViews>
    <workbookView xWindow="0" yWindow="0" windowWidth="28800" windowHeight="12435"/>
  </bookViews>
  <sheets>
    <sheet name="Dashboard" sheetId="1" r:id="rId1"/>
    <sheet name="Vendas" sheetId="2" r:id="rId2"/>
    <sheet name="Compras" sheetId="3" r:id="rId3"/>
    <sheet name="Estoque" sheetId="4" r:id="rId4"/>
    <sheet name="Despesas" sheetId="5" r:id="rId5"/>
    <sheet name="Fluxo_Caixa" sheetId="6" r:id="rId6"/>
    <sheet name="Clientes" sheetId="7" r:id="rId7"/>
    <sheet name="Fornecedores" sheetId="8" r:id="rId8"/>
    <sheet name="Contas_Pagar" sheetId="9" r:id="rId9"/>
    <sheet name="Contas_Receber" sheetId="10" r:id="rId10"/>
    <sheet name="Entregas" sheetId="11" r:id="rId11"/>
    <sheet name="INVESTIMENTO" sheetId="12" r:id="rId12"/>
    <sheet name="Sheet2" sheetId="13" r:id="rId13"/>
  </sheets>
  <calcPr calcId="152511"/>
</workbook>
</file>

<file path=xl/calcChain.xml><?xml version="1.0" encoding="utf-8"?>
<calcChain xmlns="http://schemas.openxmlformats.org/spreadsheetml/2006/main">
  <c r="C12" i="12" l="1"/>
  <c r="G2" i="11"/>
  <c r="E3" i="6"/>
  <c r="E2" i="6"/>
  <c r="D22" i="4"/>
  <c r="E22" i="4" s="1"/>
  <c r="D21" i="4"/>
  <c r="C21" i="4"/>
  <c r="E21" i="4" s="1"/>
  <c r="D20" i="4"/>
  <c r="E20" i="4" s="1"/>
  <c r="C20" i="4"/>
  <c r="D19" i="4"/>
  <c r="C19" i="4"/>
  <c r="E19" i="4" s="1"/>
  <c r="D18" i="4"/>
  <c r="C18" i="4"/>
  <c r="E18" i="4" s="1"/>
  <c r="D17" i="4"/>
  <c r="C17" i="4"/>
  <c r="E17" i="4" s="1"/>
  <c r="D16" i="4"/>
  <c r="E16" i="4" s="1"/>
  <c r="C16" i="4"/>
  <c r="D15" i="4"/>
  <c r="E15" i="4" s="1"/>
  <c r="C15" i="4"/>
  <c r="L14" i="4"/>
  <c r="D14" i="4"/>
  <c r="E14" i="4" s="1"/>
  <c r="C14" i="4"/>
  <c r="L13" i="4"/>
  <c r="D13" i="4"/>
  <c r="E13" i="4" s="1"/>
  <c r="C13" i="4"/>
  <c r="L12" i="4"/>
  <c r="D12" i="4"/>
  <c r="E12" i="4" s="1"/>
  <c r="C12" i="4"/>
  <c r="L11" i="4"/>
  <c r="D11" i="4"/>
  <c r="C11" i="4"/>
  <c r="L10" i="4"/>
  <c r="D10" i="4"/>
  <c r="C10" i="4"/>
  <c r="L9" i="4"/>
  <c r="L15" i="4" s="1"/>
  <c r="D9" i="4"/>
  <c r="C9" i="4"/>
  <c r="D8" i="4"/>
  <c r="C8" i="4"/>
  <c r="E8" i="4" s="1"/>
  <c r="D7" i="4"/>
  <c r="C7" i="4"/>
  <c r="E7" i="4" s="1"/>
  <c r="D6" i="4"/>
  <c r="C6" i="4"/>
  <c r="E6" i="4" s="1"/>
  <c r="D5" i="4"/>
  <c r="E5" i="4" s="1"/>
  <c r="C5" i="4"/>
  <c r="D4" i="4"/>
  <c r="C4" i="4"/>
  <c r="E4" i="4" s="1"/>
  <c r="D3" i="4"/>
  <c r="C3" i="4"/>
  <c r="E2" i="4"/>
  <c r="D2" i="4"/>
  <c r="C2" i="4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09" i="2"/>
  <c r="I309" i="2" s="1"/>
  <c r="F308" i="2"/>
  <c r="I308" i="2" s="1"/>
  <c r="F307" i="2"/>
  <c r="I307" i="2" s="1"/>
  <c r="F306" i="2"/>
  <c r="I306" i="2" s="1"/>
  <c r="F305" i="2"/>
  <c r="I305" i="2" s="1"/>
  <c r="F304" i="2"/>
  <c r="I304" i="2" s="1"/>
  <c r="F303" i="2"/>
  <c r="I303" i="2" s="1"/>
  <c r="F302" i="2"/>
  <c r="I302" i="2" s="1"/>
  <c r="F301" i="2"/>
  <c r="I301" i="2" s="1"/>
  <c r="F300" i="2"/>
  <c r="I300" i="2" s="1"/>
  <c r="F299" i="2"/>
  <c r="I299" i="2" s="1"/>
  <c r="F298" i="2"/>
  <c r="I298" i="2" s="1"/>
  <c r="F297" i="2"/>
  <c r="I297" i="2" s="1"/>
  <c r="F296" i="2"/>
  <c r="I296" i="2" s="1"/>
  <c r="F295" i="2"/>
  <c r="I295" i="2" s="1"/>
  <c r="F294" i="2"/>
  <c r="I294" i="2" s="1"/>
  <c r="F293" i="2"/>
  <c r="I293" i="2" s="1"/>
  <c r="F292" i="2"/>
  <c r="I292" i="2" s="1"/>
  <c r="F291" i="2"/>
  <c r="I291" i="2" s="1"/>
  <c r="F290" i="2"/>
  <c r="I290" i="2" s="1"/>
  <c r="F289" i="2"/>
  <c r="I289" i="2" s="1"/>
  <c r="F288" i="2"/>
  <c r="I288" i="2" s="1"/>
  <c r="F287" i="2"/>
  <c r="I287" i="2" s="1"/>
  <c r="F286" i="2"/>
  <c r="I286" i="2" s="1"/>
  <c r="F285" i="2"/>
  <c r="I285" i="2" s="1"/>
  <c r="F284" i="2"/>
  <c r="I284" i="2" s="1"/>
  <c r="F283" i="2"/>
  <c r="I283" i="2" s="1"/>
  <c r="F282" i="2"/>
  <c r="I282" i="2" s="1"/>
  <c r="F281" i="2"/>
  <c r="I281" i="2" s="1"/>
  <c r="F280" i="2"/>
  <c r="I280" i="2" s="1"/>
  <c r="F279" i="2"/>
  <c r="I279" i="2" s="1"/>
  <c r="F278" i="2"/>
  <c r="I278" i="2" s="1"/>
  <c r="F277" i="2"/>
  <c r="I277" i="2" s="1"/>
  <c r="F276" i="2"/>
  <c r="I276" i="2" s="1"/>
  <c r="F275" i="2"/>
  <c r="I275" i="2" s="1"/>
  <c r="F274" i="2"/>
  <c r="I274" i="2" s="1"/>
  <c r="F273" i="2"/>
  <c r="I273" i="2" s="1"/>
  <c r="F272" i="2"/>
  <c r="I272" i="2" s="1"/>
  <c r="F271" i="2"/>
  <c r="I271" i="2" s="1"/>
  <c r="F270" i="2"/>
  <c r="I270" i="2" s="1"/>
  <c r="F269" i="2"/>
  <c r="I269" i="2" s="1"/>
  <c r="F268" i="2"/>
  <c r="I268" i="2" s="1"/>
  <c r="F267" i="2"/>
  <c r="I267" i="2" s="1"/>
  <c r="F266" i="2"/>
  <c r="I266" i="2" s="1"/>
  <c r="F265" i="2"/>
  <c r="I265" i="2" s="1"/>
  <c r="F264" i="2"/>
  <c r="I264" i="2" s="1"/>
  <c r="F263" i="2"/>
  <c r="I263" i="2" s="1"/>
  <c r="F262" i="2"/>
  <c r="I262" i="2" s="1"/>
  <c r="F261" i="2"/>
  <c r="I261" i="2" s="1"/>
  <c r="F260" i="2"/>
  <c r="I260" i="2" s="1"/>
  <c r="F259" i="2"/>
  <c r="I259" i="2" s="1"/>
  <c r="F258" i="2"/>
  <c r="I258" i="2" s="1"/>
  <c r="F257" i="2"/>
  <c r="I257" i="2" s="1"/>
  <c r="F256" i="2"/>
  <c r="I256" i="2" s="1"/>
  <c r="F255" i="2"/>
  <c r="I255" i="2" s="1"/>
  <c r="F254" i="2"/>
  <c r="I254" i="2" s="1"/>
  <c r="F253" i="2"/>
  <c r="I253" i="2" s="1"/>
  <c r="F252" i="2"/>
  <c r="I252" i="2" s="1"/>
  <c r="F251" i="2"/>
  <c r="I251" i="2" s="1"/>
  <c r="F250" i="2"/>
  <c r="I250" i="2" s="1"/>
  <c r="F249" i="2"/>
  <c r="I249" i="2" s="1"/>
  <c r="F248" i="2"/>
  <c r="I248" i="2" s="1"/>
  <c r="F247" i="2"/>
  <c r="I247" i="2" s="1"/>
  <c r="F246" i="2"/>
  <c r="I246" i="2" s="1"/>
  <c r="F245" i="2"/>
  <c r="I245" i="2" s="1"/>
  <c r="F244" i="2"/>
  <c r="I244" i="2" s="1"/>
  <c r="F243" i="2"/>
  <c r="I243" i="2" s="1"/>
  <c r="F242" i="2"/>
  <c r="I242" i="2" s="1"/>
  <c r="F241" i="2"/>
  <c r="I241" i="2" s="1"/>
  <c r="F240" i="2"/>
  <c r="I240" i="2" s="1"/>
  <c r="F239" i="2"/>
  <c r="I239" i="2" s="1"/>
  <c r="F238" i="2"/>
  <c r="I238" i="2" s="1"/>
  <c r="F237" i="2"/>
  <c r="I237" i="2" s="1"/>
  <c r="F236" i="2"/>
  <c r="I236" i="2" s="1"/>
  <c r="F235" i="2"/>
  <c r="I235" i="2" s="1"/>
  <c r="F234" i="2"/>
  <c r="I234" i="2" s="1"/>
  <c r="F233" i="2"/>
  <c r="I233" i="2" s="1"/>
  <c r="F232" i="2"/>
  <c r="I232" i="2" s="1"/>
  <c r="F231" i="2"/>
  <c r="I231" i="2" s="1"/>
  <c r="F230" i="2"/>
  <c r="I230" i="2" s="1"/>
  <c r="F229" i="2"/>
  <c r="I229" i="2" s="1"/>
  <c r="F228" i="2"/>
  <c r="I228" i="2" s="1"/>
  <c r="F227" i="2"/>
  <c r="I227" i="2" s="1"/>
  <c r="F226" i="2"/>
  <c r="I226" i="2" s="1"/>
  <c r="F225" i="2"/>
  <c r="I225" i="2" s="1"/>
  <c r="F224" i="2"/>
  <c r="I224" i="2" s="1"/>
  <c r="F223" i="2"/>
  <c r="I223" i="2" s="1"/>
  <c r="F222" i="2"/>
  <c r="I222" i="2" s="1"/>
  <c r="F221" i="2"/>
  <c r="I221" i="2" s="1"/>
  <c r="F220" i="2"/>
  <c r="I220" i="2" s="1"/>
  <c r="F219" i="2"/>
  <c r="I219" i="2" s="1"/>
  <c r="F218" i="2"/>
  <c r="I218" i="2" s="1"/>
  <c r="F217" i="2"/>
  <c r="I217" i="2" s="1"/>
  <c r="F216" i="2"/>
  <c r="I216" i="2" s="1"/>
  <c r="F215" i="2"/>
  <c r="I215" i="2" s="1"/>
  <c r="F214" i="2"/>
  <c r="I214" i="2" s="1"/>
  <c r="F213" i="2"/>
  <c r="I213" i="2" s="1"/>
  <c r="F212" i="2"/>
  <c r="I212" i="2" s="1"/>
  <c r="F211" i="2"/>
  <c r="I211" i="2" s="1"/>
  <c r="F210" i="2"/>
  <c r="I210" i="2" s="1"/>
  <c r="F209" i="2"/>
  <c r="I209" i="2" s="1"/>
  <c r="F208" i="2"/>
  <c r="I208" i="2" s="1"/>
  <c r="F207" i="2"/>
  <c r="I207" i="2" s="1"/>
  <c r="F206" i="2"/>
  <c r="I206" i="2" s="1"/>
  <c r="F205" i="2"/>
  <c r="I205" i="2" s="1"/>
  <c r="F204" i="2"/>
  <c r="I204" i="2" s="1"/>
  <c r="F203" i="2"/>
  <c r="I203" i="2" s="1"/>
  <c r="F202" i="2"/>
  <c r="I202" i="2" s="1"/>
  <c r="F201" i="2"/>
  <c r="I201" i="2" s="1"/>
  <c r="F200" i="2"/>
  <c r="I200" i="2" s="1"/>
  <c r="F199" i="2"/>
  <c r="I199" i="2" s="1"/>
  <c r="F198" i="2"/>
  <c r="I198" i="2" s="1"/>
  <c r="F197" i="2"/>
  <c r="I197" i="2" s="1"/>
  <c r="F196" i="2"/>
  <c r="I196" i="2" s="1"/>
  <c r="F195" i="2"/>
  <c r="I195" i="2" s="1"/>
  <c r="F194" i="2"/>
  <c r="I194" i="2" s="1"/>
  <c r="F193" i="2"/>
  <c r="I193" i="2" s="1"/>
  <c r="F192" i="2"/>
  <c r="I192" i="2" s="1"/>
  <c r="F191" i="2"/>
  <c r="I191" i="2" s="1"/>
  <c r="F190" i="2"/>
  <c r="I190" i="2" s="1"/>
  <c r="F189" i="2"/>
  <c r="I189" i="2" s="1"/>
  <c r="F188" i="2"/>
  <c r="I188" i="2" s="1"/>
  <c r="F187" i="2"/>
  <c r="I187" i="2" s="1"/>
  <c r="F186" i="2"/>
  <c r="I186" i="2" s="1"/>
  <c r="F185" i="2"/>
  <c r="I185" i="2" s="1"/>
  <c r="F184" i="2"/>
  <c r="I184" i="2" s="1"/>
  <c r="F183" i="2"/>
  <c r="I183" i="2" s="1"/>
  <c r="F182" i="2"/>
  <c r="I182" i="2" s="1"/>
  <c r="F181" i="2"/>
  <c r="I181" i="2" s="1"/>
  <c r="F180" i="2"/>
  <c r="I180" i="2" s="1"/>
  <c r="F179" i="2"/>
  <c r="I179" i="2" s="1"/>
  <c r="F178" i="2"/>
  <c r="I178" i="2" s="1"/>
  <c r="F177" i="2"/>
  <c r="I177" i="2" s="1"/>
  <c r="F176" i="2"/>
  <c r="I176" i="2" s="1"/>
  <c r="F175" i="2"/>
  <c r="I175" i="2" s="1"/>
  <c r="F174" i="2"/>
  <c r="I174" i="2" s="1"/>
  <c r="F173" i="2"/>
  <c r="I173" i="2" s="1"/>
  <c r="F172" i="2"/>
  <c r="I172" i="2" s="1"/>
  <c r="F171" i="2"/>
  <c r="I171" i="2" s="1"/>
  <c r="F170" i="2"/>
  <c r="I170" i="2" s="1"/>
  <c r="F169" i="2"/>
  <c r="I169" i="2" s="1"/>
  <c r="F168" i="2"/>
  <c r="I168" i="2" s="1"/>
  <c r="I167" i="2"/>
  <c r="F167" i="2"/>
  <c r="I166" i="2"/>
  <c r="F166" i="2"/>
  <c r="I165" i="2"/>
  <c r="F165" i="2"/>
  <c r="T164" i="2"/>
  <c r="F164" i="2"/>
  <c r="I164" i="2" s="1"/>
  <c r="F163" i="2"/>
  <c r="I163" i="2" s="1"/>
  <c r="F162" i="2"/>
  <c r="I162" i="2" s="1"/>
  <c r="F161" i="2"/>
  <c r="I161" i="2" s="1"/>
  <c r="F160" i="2"/>
  <c r="I160" i="2" s="1"/>
  <c r="F159" i="2"/>
  <c r="I159" i="2" s="1"/>
  <c r="I158" i="2"/>
  <c r="F158" i="2"/>
  <c r="F157" i="2"/>
  <c r="I157" i="2" s="1"/>
  <c r="T156" i="2"/>
  <c r="T167" i="2" s="1"/>
  <c r="I156" i="2"/>
  <c r="F156" i="2"/>
  <c r="I155" i="2"/>
  <c r="F155" i="2"/>
  <c r="I154" i="2"/>
  <c r="F154" i="2"/>
  <c r="I153" i="2"/>
  <c r="F153" i="2"/>
  <c r="I152" i="2"/>
  <c r="F152" i="2"/>
  <c r="I151" i="2"/>
  <c r="F151" i="2"/>
  <c r="I150" i="2"/>
  <c r="F150" i="2"/>
  <c r="I149" i="2"/>
  <c r="F149" i="2"/>
  <c r="I148" i="2"/>
  <c r="F148" i="2"/>
  <c r="I147" i="2"/>
  <c r="F147" i="2"/>
  <c r="I146" i="2"/>
  <c r="F146" i="2"/>
  <c r="I145" i="2"/>
  <c r="F145" i="2"/>
  <c r="I144" i="2"/>
  <c r="F144" i="2"/>
  <c r="I143" i="2"/>
  <c r="F143" i="2"/>
  <c r="I142" i="2"/>
  <c r="F142" i="2"/>
  <c r="I141" i="2"/>
  <c r="F141" i="2"/>
  <c r="I140" i="2"/>
  <c r="F140" i="2"/>
  <c r="I139" i="2"/>
  <c r="F139" i="2"/>
  <c r="I138" i="2"/>
  <c r="F138" i="2"/>
  <c r="I137" i="2"/>
  <c r="F137" i="2"/>
  <c r="I136" i="2"/>
  <c r="F136" i="2"/>
  <c r="I135" i="2"/>
  <c r="F135" i="2"/>
  <c r="I134" i="2"/>
  <c r="F134" i="2"/>
  <c r="I133" i="2"/>
  <c r="F133" i="2"/>
  <c r="I132" i="2"/>
  <c r="F132" i="2"/>
  <c r="I131" i="2"/>
  <c r="F131" i="2"/>
  <c r="I130" i="2"/>
  <c r="F130" i="2"/>
  <c r="I129" i="2"/>
  <c r="F129" i="2"/>
  <c r="I128" i="2"/>
  <c r="F128" i="2"/>
  <c r="I127" i="2"/>
  <c r="F127" i="2"/>
  <c r="I126" i="2"/>
  <c r="F126" i="2"/>
  <c r="I125" i="2"/>
  <c r="F125" i="2"/>
  <c r="I124" i="2"/>
  <c r="F124" i="2"/>
  <c r="I123" i="2"/>
  <c r="F123" i="2"/>
  <c r="I122" i="2"/>
  <c r="F122" i="2"/>
  <c r="I121" i="2"/>
  <c r="F121" i="2"/>
  <c r="I120" i="2"/>
  <c r="F120" i="2"/>
  <c r="I119" i="2"/>
  <c r="F119" i="2"/>
  <c r="I118" i="2"/>
  <c r="F118" i="2"/>
  <c r="I117" i="2"/>
  <c r="F117" i="2"/>
  <c r="I116" i="2"/>
  <c r="F116" i="2"/>
  <c r="I115" i="2"/>
  <c r="F115" i="2"/>
  <c r="I114" i="2"/>
  <c r="F114" i="2"/>
  <c r="I113" i="2"/>
  <c r="F113" i="2"/>
  <c r="I112" i="2"/>
  <c r="F112" i="2"/>
  <c r="I111" i="2"/>
  <c r="F111" i="2"/>
  <c r="I110" i="2"/>
  <c r="F110" i="2"/>
  <c r="I109" i="2"/>
  <c r="F109" i="2"/>
  <c r="I108" i="2"/>
  <c r="F108" i="2"/>
  <c r="I107" i="2"/>
  <c r="F107" i="2"/>
  <c r="I106" i="2"/>
  <c r="F106" i="2"/>
  <c r="I105" i="2"/>
  <c r="F105" i="2"/>
  <c r="I104" i="2"/>
  <c r="F104" i="2"/>
  <c r="I103" i="2"/>
  <c r="F103" i="2"/>
  <c r="I102" i="2"/>
  <c r="F102" i="2"/>
  <c r="I101" i="2"/>
  <c r="F101" i="2"/>
  <c r="I100" i="2"/>
  <c r="F100" i="2"/>
  <c r="I99" i="2"/>
  <c r="F99" i="2"/>
  <c r="I98" i="2"/>
  <c r="F98" i="2"/>
  <c r="I97" i="2"/>
  <c r="F97" i="2"/>
  <c r="I96" i="2"/>
  <c r="F96" i="2"/>
  <c r="I95" i="2"/>
  <c r="F95" i="2"/>
  <c r="I94" i="2"/>
  <c r="F94" i="2"/>
  <c r="I93" i="2"/>
  <c r="F93" i="2"/>
  <c r="I92" i="2"/>
  <c r="F92" i="2"/>
  <c r="I91" i="2"/>
  <c r="F91" i="2"/>
  <c r="I90" i="2"/>
  <c r="F90" i="2"/>
  <c r="I89" i="2"/>
  <c r="F89" i="2"/>
  <c r="I88" i="2"/>
  <c r="F88" i="2"/>
  <c r="I87" i="2"/>
  <c r="F87" i="2"/>
  <c r="I86" i="2"/>
  <c r="F86" i="2"/>
  <c r="I85" i="2"/>
  <c r="F85" i="2"/>
  <c r="I84" i="2"/>
  <c r="F84" i="2"/>
  <c r="I83" i="2"/>
  <c r="F83" i="2"/>
  <c r="I82" i="2"/>
  <c r="F82" i="2"/>
  <c r="I81" i="2"/>
  <c r="F81" i="2"/>
  <c r="I80" i="2"/>
  <c r="F80" i="2"/>
  <c r="I79" i="2"/>
  <c r="F79" i="2"/>
  <c r="I78" i="2"/>
  <c r="F78" i="2"/>
  <c r="I77" i="2"/>
  <c r="F77" i="2"/>
  <c r="I76" i="2"/>
  <c r="F76" i="2"/>
  <c r="I75" i="2"/>
  <c r="F75" i="2"/>
  <c r="I74" i="2"/>
  <c r="F74" i="2"/>
  <c r="I73" i="2"/>
  <c r="F73" i="2"/>
  <c r="I72" i="2"/>
  <c r="F72" i="2"/>
  <c r="I71" i="2"/>
  <c r="F71" i="2"/>
  <c r="I70" i="2"/>
  <c r="F70" i="2"/>
  <c r="I69" i="2"/>
  <c r="F69" i="2"/>
  <c r="I68" i="2"/>
  <c r="F68" i="2"/>
  <c r="I67" i="2"/>
  <c r="F67" i="2"/>
  <c r="I66" i="2"/>
  <c r="F66" i="2"/>
  <c r="I65" i="2"/>
  <c r="F65" i="2"/>
  <c r="I64" i="2"/>
  <c r="F64" i="2"/>
  <c r="I63" i="2"/>
  <c r="F63" i="2"/>
  <c r="I62" i="2"/>
  <c r="F62" i="2"/>
  <c r="I61" i="2"/>
  <c r="F61" i="2"/>
  <c r="I60" i="2"/>
  <c r="F60" i="2"/>
  <c r="I59" i="2"/>
  <c r="F59" i="2"/>
  <c r="I58" i="2"/>
  <c r="F58" i="2"/>
  <c r="I57" i="2"/>
  <c r="F57" i="2"/>
  <c r="I56" i="2"/>
  <c r="F56" i="2"/>
  <c r="I55" i="2"/>
  <c r="F55" i="2"/>
  <c r="I54" i="2"/>
  <c r="F54" i="2"/>
  <c r="I53" i="2"/>
  <c r="F53" i="2"/>
  <c r="I52" i="2"/>
  <c r="F52" i="2"/>
  <c r="I51" i="2"/>
  <c r="F51" i="2"/>
  <c r="I50" i="2"/>
  <c r="F50" i="2"/>
  <c r="I49" i="2"/>
  <c r="F49" i="2"/>
  <c r="I48" i="2"/>
  <c r="F48" i="2"/>
  <c r="I47" i="2"/>
  <c r="F47" i="2"/>
  <c r="I46" i="2"/>
  <c r="F46" i="2"/>
  <c r="I45" i="2"/>
  <c r="F45" i="2"/>
  <c r="I44" i="2"/>
  <c r="F44" i="2"/>
  <c r="I43" i="2"/>
  <c r="F43" i="2"/>
  <c r="I42" i="2"/>
  <c r="F42" i="2"/>
  <c r="I41" i="2"/>
  <c r="F41" i="2"/>
  <c r="I40" i="2"/>
  <c r="F40" i="2"/>
  <c r="I39" i="2"/>
  <c r="F39" i="2"/>
  <c r="I38" i="2"/>
  <c r="F38" i="2"/>
  <c r="I37" i="2"/>
  <c r="F37" i="2"/>
  <c r="I36" i="2"/>
  <c r="F36" i="2"/>
  <c r="I35" i="2"/>
  <c r="F35" i="2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I20" i="2"/>
  <c r="F20" i="2"/>
  <c r="I19" i="2"/>
  <c r="F19" i="2"/>
  <c r="I18" i="2"/>
  <c r="F18" i="2"/>
  <c r="I17" i="2"/>
  <c r="F17" i="2"/>
  <c r="I16" i="2"/>
  <c r="F16" i="2"/>
  <c r="I15" i="2"/>
  <c r="F15" i="2"/>
  <c r="I14" i="2"/>
  <c r="F14" i="2"/>
  <c r="I13" i="2"/>
  <c r="F13" i="2"/>
  <c r="I12" i="2"/>
  <c r="F12" i="2"/>
  <c r="I11" i="2"/>
  <c r="F11" i="2"/>
  <c r="I10" i="2"/>
  <c r="F10" i="2"/>
  <c r="I9" i="2"/>
  <c r="F9" i="2"/>
  <c r="I8" i="2"/>
  <c r="F8" i="2"/>
  <c r="I7" i="2"/>
  <c r="F7" i="2"/>
  <c r="I6" i="2"/>
  <c r="F6" i="2"/>
  <c r="I5" i="2"/>
  <c r="F5" i="2"/>
  <c r="I4" i="2"/>
  <c r="F4" i="2"/>
  <c r="I3" i="2"/>
  <c r="F3" i="2"/>
  <c r="B2" i="1" s="1"/>
  <c r="I2" i="2"/>
  <c r="F2" i="2"/>
  <c r="D5" i="1"/>
  <c r="B4" i="1"/>
  <c r="B3" i="1"/>
  <c r="E3" i="4" l="1"/>
  <c r="E11" i="4"/>
  <c r="E10" i="4"/>
  <c r="E9" i="4"/>
</calcChain>
</file>

<file path=xl/sharedStrings.xml><?xml version="1.0" encoding="utf-8"?>
<sst xmlns="http://schemas.openxmlformats.org/spreadsheetml/2006/main" count="1162" uniqueCount="325">
  <si>
    <t>Indicador</t>
  </si>
  <si>
    <t>Valor</t>
  </si>
  <si>
    <t>Total de Vendas</t>
  </si>
  <si>
    <t>Total de Despesas</t>
  </si>
  <si>
    <t>Lucro Líquido</t>
  </si>
  <si>
    <t>ESTOQUE</t>
  </si>
  <si>
    <t>Data</t>
  </si>
  <si>
    <t>Cliente</t>
  </si>
  <si>
    <t>Produto</t>
  </si>
  <si>
    <t>Quantidade</t>
  </si>
  <si>
    <t>Valor Unitário</t>
  </si>
  <si>
    <t>Valor Venda</t>
  </si>
  <si>
    <t>Forma Pagamento</t>
  </si>
  <si>
    <t>Taxa</t>
  </si>
  <si>
    <t>Valor Líquido</t>
  </si>
  <si>
    <t>Status Entrega</t>
  </si>
  <si>
    <t>CAMARÃO INTEIRO 51/60</t>
  </si>
  <si>
    <t>DINHEIRO</t>
  </si>
  <si>
    <t>OK</t>
  </si>
  <si>
    <t>PIX</t>
  </si>
  <si>
    <t>OK REVENDA</t>
  </si>
  <si>
    <t>CREDITO</t>
  </si>
  <si>
    <t>FILE DE CAMARÃO G</t>
  </si>
  <si>
    <t>FILE DE TILAPIA</t>
  </si>
  <si>
    <t>CLEBIA</t>
  </si>
  <si>
    <t>INGRID</t>
  </si>
  <si>
    <t>FILE DE SALMÃO</t>
  </si>
  <si>
    <t>FILE DE CAMARÃO 61/70</t>
  </si>
  <si>
    <t>Blogueira</t>
  </si>
  <si>
    <t>JOSILEIDE</t>
  </si>
  <si>
    <t>TASSO</t>
  </si>
  <si>
    <t>DINHEIRO E PIX</t>
  </si>
  <si>
    <t>CELEBRE</t>
  </si>
  <si>
    <t>LUANA</t>
  </si>
  <si>
    <t>WELLINTON</t>
  </si>
  <si>
    <t>LIVIA</t>
  </si>
  <si>
    <t>ELAINE</t>
  </si>
  <si>
    <t>LUCIVANIA</t>
  </si>
  <si>
    <t>MAECELOS</t>
  </si>
  <si>
    <t>A PAGAR</t>
  </si>
  <si>
    <t>???</t>
  </si>
  <si>
    <t>ERIKA</t>
  </si>
  <si>
    <t>11/06.26</t>
  </si>
  <si>
    <t>MARIS</t>
  </si>
  <si>
    <t>KIT DO AMOR</t>
  </si>
  <si>
    <t>ALOISIO</t>
  </si>
  <si>
    <t>KIT HEXAR</t>
  </si>
  <si>
    <t>LUCIA</t>
  </si>
  <si>
    <t>FILE DE CAMARÃO EXTRA G 16/20</t>
  </si>
  <si>
    <t>KIT BRASILEIRINHO</t>
  </si>
  <si>
    <t>CACAU</t>
  </si>
  <si>
    <t>DRA, NARA</t>
  </si>
  <si>
    <t>DRA. LIVIA</t>
  </si>
  <si>
    <t>REVENDA</t>
  </si>
  <si>
    <t>ARRUDA/ROBERIO</t>
  </si>
  <si>
    <t>DEGUSTAÇÃO</t>
  </si>
  <si>
    <t>ELIETE /MARIANA</t>
  </si>
  <si>
    <t>NANCY</t>
  </si>
  <si>
    <t>TASSIO</t>
  </si>
  <si>
    <t>TATIANE</t>
  </si>
  <si>
    <t>VITORIA</t>
  </si>
  <si>
    <t>PAULA</t>
  </si>
  <si>
    <t>CARTÃO</t>
  </si>
  <si>
    <t>NANDO PIZZARIA</t>
  </si>
  <si>
    <t>JOCILEIDE</t>
  </si>
  <si>
    <t>GUILHERME</t>
  </si>
  <si>
    <t>NEIDE CHURRASCARIA</t>
  </si>
  <si>
    <t>NARA</t>
  </si>
  <si>
    <t>RAYSSA</t>
  </si>
  <si>
    <t>CLAUDIO</t>
  </si>
  <si>
    <t>SARDINHA EVICERADA COM CABEÇA</t>
  </si>
  <si>
    <t>ANDREIA</t>
  </si>
  <si>
    <t>SAMARA</t>
  </si>
  <si>
    <t>GRACINHA</t>
  </si>
  <si>
    <t>BRENO</t>
  </si>
  <si>
    <t>NILDO</t>
  </si>
  <si>
    <t>CARTAO DE CREDITO</t>
  </si>
  <si>
    <t>DÉBITO</t>
  </si>
  <si>
    <t>D. PRETA</t>
  </si>
  <si>
    <t>LUCIVANDA</t>
  </si>
  <si>
    <t>KIT 50,00</t>
  </si>
  <si>
    <t>BARUADA</t>
  </si>
  <si>
    <t>BRENDA</t>
  </si>
  <si>
    <t>DEBITO</t>
  </si>
  <si>
    <t>JEFFERSON</t>
  </si>
  <si>
    <t>DALVA</t>
  </si>
  <si>
    <t>MANU</t>
  </si>
  <si>
    <t>JOANA</t>
  </si>
  <si>
    <t>DEPOSITO</t>
  </si>
  <si>
    <t>LARA</t>
  </si>
  <si>
    <t>ALDEOTA</t>
  </si>
  <si>
    <t>PASTORA</t>
  </si>
  <si>
    <t>PAG. PAUPINA</t>
  </si>
  <si>
    <t>ALAN</t>
  </si>
  <si>
    <t>AMANDA</t>
  </si>
  <si>
    <t>INGRED</t>
  </si>
  <si>
    <t>BLOGUEIRA</t>
  </si>
  <si>
    <t>DEBORA</t>
  </si>
  <si>
    <t>ALMOCO/AV. MARIANA</t>
  </si>
  <si>
    <t>RAQUEL</t>
  </si>
  <si>
    <t>INFLUENCIADORA</t>
  </si>
  <si>
    <t>TOTAL</t>
  </si>
  <si>
    <t>ROBERIO E ARRUDA</t>
  </si>
  <si>
    <t>DIVULGACÃO</t>
  </si>
  <si>
    <t>SERINHA</t>
  </si>
  <si>
    <t>KIT 50,01</t>
  </si>
  <si>
    <t xml:space="preserve">PAUPINA </t>
  </si>
  <si>
    <t>TURATI</t>
  </si>
  <si>
    <t>RESTAURANTE</t>
  </si>
  <si>
    <t xml:space="preserve">REVENDA </t>
  </si>
  <si>
    <t>DRIELY</t>
  </si>
  <si>
    <t>EUSEBIO</t>
  </si>
  <si>
    <t>MADEIRA</t>
  </si>
  <si>
    <t>FILE DE CAMARÃO GG</t>
  </si>
  <si>
    <t>RESTAURANTE NEIDE</t>
  </si>
  <si>
    <t>BETE</t>
  </si>
  <si>
    <t>FABIANA</t>
  </si>
  <si>
    <t xml:space="preserve"> POSTA DE ATUM</t>
  </si>
  <si>
    <t>MARCONDES</t>
  </si>
  <si>
    <t>NEUTO</t>
  </si>
  <si>
    <t>GABI</t>
  </si>
  <si>
    <t>JOSE FILHO</t>
  </si>
  <si>
    <t>PASSARE</t>
  </si>
  <si>
    <t>ROBERIO</t>
  </si>
  <si>
    <t>MARIO</t>
  </si>
  <si>
    <t>ASKLEY</t>
  </si>
  <si>
    <t>MARCIO</t>
  </si>
  <si>
    <t>CILIS</t>
  </si>
  <si>
    <t>LOPES</t>
  </si>
  <si>
    <t>ARTHUR LINDO</t>
  </si>
  <si>
    <t>ERICO</t>
  </si>
  <si>
    <t>ALICE</t>
  </si>
  <si>
    <t>MARIANA</t>
  </si>
  <si>
    <t xml:space="preserve">FILE DE CAMARÃO G </t>
  </si>
  <si>
    <t>CAROL</t>
  </si>
  <si>
    <t>KIT 55,00</t>
  </si>
  <si>
    <t>CLEBER</t>
  </si>
  <si>
    <t>JARDINS DAS OLIVEIRAS</t>
  </si>
  <si>
    <t>WILMAR</t>
  </si>
  <si>
    <t>OVOS CAIPIRA</t>
  </si>
  <si>
    <t>PAUPINA</t>
  </si>
  <si>
    <t>CIDADE DOS FUNCIONARIOS</t>
  </si>
  <si>
    <t>MARCELOS</t>
  </si>
  <si>
    <t>EDUCANDARIO</t>
  </si>
  <si>
    <t>DIGEANE</t>
  </si>
  <si>
    <t>2 KIT R$ 55,00</t>
  </si>
  <si>
    <t>WELLINGTON</t>
  </si>
  <si>
    <t>SHIRLEY</t>
  </si>
  <si>
    <t>Fornecedor</t>
  </si>
  <si>
    <t>Quantidade Comprada (KG)</t>
  </si>
  <si>
    <t>Custo Unitário</t>
  </si>
  <si>
    <t>Valor Total</t>
  </si>
  <si>
    <t>CJ PESCADOS</t>
  </si>
  <si>
    <t>FERNANDO DO CAMARÀO</t>
  </si>
  <si>
    <t>KONDELLI (SÃO LUIZ)</t>
  </si>
  <si>
    <t>CHALES PESCADOS</t>
  </si>
  <si>
    <t>04/06.26</t>
  </si>
  <si>
    <t>ALDEIR</t>
  </si>
  <si>
    <t>FABINHO</t>
  </si>
  <si>
    <t>DILAMAR</t>
  </si>
  <si>
    <t>DILAMAR PESCADO</t>
  </si>
  <si>
    <t>MUCURIPE</t>
  </si>
  <si>
    <t>KILO COM PELE 85,00 PERCDE 200G NA RETIRADA DA PELE</t>
  </si>
  <si>
    <t>CESAR</t>
  </si>
  <si>
    <t>SÓ PEIXES PESCADOS</t>
  </si>
  <si>
    <t>WS PESCADOS</t>
  </si>
  <si>
    <t>ARACATI PESCADOS</t>
  </si>
  <si>
    <t>FOI COMPRADO 10G DE CAMARÃO INTEIRO E TRANSFORMADO EM 5 G DE FILE DE CAMARÃO</t>
  </si>
  <si>
    <t>COM PE;E COM A RETIRADA DA PELE FICOU 920G</t>
  </si>
  <si>
    <t>GEOVA</t>
  </si>
  <si>
    <t>FRESCO</t>
  </si>
  <si>
    <t>CHARLES</t>
  </si>
  <si>
    <t>MUCURIOE</t>
  </si>
  <si>
    <t>MESSEJANA</t>
  </si>
  <si>
    <t>CAMARÃO G SEM CABEÇA</t>
  </si>
  <si>
    <t>POSTA DE PARGO</t>
  </si>
  <si>
    <t>HENDERSON CAVALCANTE</t>
  </si>
  <si>
    <t>DGVR COMERCIO DE ALIMENTOS LTDA</t>
  </si>
  <si>
    <t>SUPERMERCADO</t>
  </si>
  <si>
    <t>Estoque Inicial</t>
  </si>
  <si>
    <t>Entradas (Compras)</t>
  </si>
  <si>
    <t>Saídas (Vendas)</t>
  </si>
  <si>
    <t>Estoque Atual</t>
  </si>
  <si>
    <t>DIFERENÇA  ESTOQUE E CONTAGEM</t>
  </si>
  <si>
    <t>COMO FUNCIONA</t>
  </si>
  <si>
    <t>Ao lançar uma compra na aba Compras, o estoque aumenta.</t>
  </si>
  <si>
    <t>Ao lançar uma venda na aba Vendas, o estoque diminui automaticamente.</t>
  </si>
  <si>
    <t>CONTAGEM DO ESTOQUE DIA 13/07/26</t>
  </si>
  <si>
    <t xml:space="preserve">Filé médio  61/70 </t>
  </si>
  <si>
    <t xml:space="preserve">Filé de camarão EXTRA 1620 </t>
  </si>
  <si>
    <t xml:space="preserve">Filé tilápia- </t>
  </si>
  <si>
    <t xml:space="preserve">Sardinha-  </t>
  </si>
  <si>
    <t>Camarão inteiro -</t>
  </si>
  <si>
    <t>Salmão</t>
  </si>
  <si>
    <t>Categoria</t>
  </si>
  <si>
    <t>Descrição</t>
  </si>
  <si>
    <t>EQUIPAMENTO</t>
  </si>
  <si>
    <t>FREEZER</t>
  </si>
  <si>
    <t>CARTAO EM 6 X 669,00</t>
  </si>
  <si>
    <t>BALANÇA</t>
  </si>
  <si>
    <t>ARRUDA</t>
  </si>
  <si>
    <t>SELADORA</t>
  </si>
  <si>
    <t>UTENSILIOS</t>
  </si>
  <si>
    <t>PENEIRA, BOOL E GRAPEADOR</t>
  </si>
  <si>
    <t>EMBALAGENS</t>
  </si>
  <si>
    <t>SACOS</t>
  </si>
  <si>
    <t>SACOLAS</t>
  </si>
  <si>
    <t>MAT. GRAFICOS</t>
  </si>
  <si>
    <t>PLANFLETOS</t>
  </si>
  <si>
    <t>ADESIVOS</t>
  </si>
  <si>
    <t>TABUA, FACA</t>
  </si>
  <si>
    <t>MESA</t>
  </si>
  <si>
    <t>MAT. ELETRICO</t>
  </si>
  <si>
    <t>PROT. ELETRICO</t>
  </si>
  <si>
    <t>DESP. FIXAS</t>
  </si>
  <si>
    <t>ENERGIA</t>
  </si>
  <si>
    <t>28 E 30</t>
  </si>
  <si>
    <t>DESP.  VARIAVEL</t>
  </si>
  <si>
    <t>COMBUSTIVEL</t>
  </si>
  <si>
    <t>PRODUTOS</t>
  </si>
  <si>
    <t>CAMARÃO E FILE</t>
  </si>
  <si>
    <t>FILÉ DE SALMÃO</t>
  </si>
  <si>
    <t>DIVULGAÇÃO</t>
  </si>
  <si>
    <t>CAMARÃO INTEIRO</t>
  </si>
  <si>
    <t>PARA BLOGUEIRA</t>
  </si>
  <si>
    <t>IMA</t>
  </si>
  <si>
    <t>BEG</t>
  </si>
  <si>
    <t>CARTào 2x 96,25</t>
  </si>
  <si>
    <t>ISOPOR</t>
  </si>
  <si>
    <t>MAT. DESCARTAVEL</t>
  </si>
  <si>
    <t>LUVA PRETA (100UND)</t>
  </si>
  <si>
    <t>MAT. DE LIMPEZA</t>
  </si>
  <si>
    <t>DETERGENTE E MULTIUSO</t>
  </si>
  <si>
    <t>ENTREGA</t>
  </si>
  <si>
    <t>UBER FLEX</t>
  </si>
  <si>
    <t>EMBALAGEM</t>
  </si>
  <si>
    <t>PEGA OS IMAS NA GRAFICA</t>
  </si>
  <si>
    <t>16/06'26</t>
  </si>
  <si>
    <t>SACO ( 1,274 KG)</t>
  </si>
  <si>
    <t>PAPEL TOALHA</t>
  </si>
  <si>
    <t>MAT, ESCRITORIO</t>
  </si>
  <si>
    <t>CANETA MARCADOR</t>
  </si>
  <si>
    <t>MAT. DIVULGACÃO</t>
  </si>
  <si>
    <t>ETIQUETAS PRODUTOS E DA ADESIVO BAG</t>
  </si>
  <si>
    <t>MAQUINA DE PASSAR CARTÃO</t>
  </si>
  <si>
    <t>SACOS LISO  ( 8341) (1KG)</t>
  </si>
  <si>
    <t>MATERIAL DIVERSO</t>
  </si>
  <si>
    <t>Espuma Pedrei e Estrado modular</t>
  </si>
  <si>
    <t>PANO  MULTIUSO ROLO  50 UNID</t>
  </si>
  <si>
    <t>TOALHA SCALA</t>
  </si>
  <si>
    <t>SACOS 2KG</t>
  </si>
  <si>
    <t>SAO QUANTAS UNIDADES?</t>
  </si>
  <si>
    <t>CAMARÃO FRESCP 10/11</t>
  </si>
  <si>
    <t>DESP. VARIAVEL</t>
  </si>
  <si>
    <t>FILÉ DE CAMARÃO GG</t>
  </si>
  <si>
    <t>CARTAO</t>
  </si>
  <si>
    <t>ATUM EM POSTA</t>
  </si>
  <si>
    <t>MAT. DIVERSOS</t>
  </si>
  <si>
    <t>QUEROSENE</t>
  </si>
  <si>
    <t>ROLO DE PINTURA</t>
  </si>
  <si>
    <t>DESPESAS FIXA</t>
  </si>
  <si>
    <t>ALUGUEL DE SALA</t>
  </si>
  <si>
    <t>WIND BANNER</t>
  </si>
  <si>
    <t>CAMARÃO G</t>
  </si>
  <si>
    <t>MUCURIPE 10 KGDE CAMARÃO INTEIRO TRANSFORMADO EM 5KG DE FILE</t>
  </si>
  <si>
    <t>SACOLAS E SACOS</t>
  </si>
  <si>
    <t>DECORAÇÃO</t>
  </si>
  <si>
    <t>LUMINARIAS + SOQUETES</t>
  </si>
  <si>
    <t>QRCODE</t>
  </si>
  <si>
    <t>Entradas</t>
  </si>
  <si>
    <t>Saídas</t>
  </si>
  <si>
    <t>Saldo Diário</t>
  </si>
  <si>
    <t>Telefone</t>
  </si>
  <si>
    <t>Endereço</t>
  </si>
  <si>
    <t>Forma de pagamento</t>
  </si>
  <si>
    <t>Valor Devido</t>
  </si>
  <si>
    <t>Último Pagamento</t>
  </si>
  <si>
    <t>Contato</t>
  </si>
  <si>
    <t>ENDEREÇO</t>
  </si>
  <si>
    <t>Produto Fornecido</t>
  </si>
  <si>
    <t>Prazo Pagamento</t>
  </si>
  <si>
    <t>Observações</t>
  </si>
  <si>
    <t>CAMARÃO INTEIRO, FILE DE CAMARÃO</t>
  </si>
  <si>
    <t xml:space="preserve">DILAMAR PESCADOS </t>
  </si>
  <si>
    <t>KARINE</t>
  </si>
  <si>
    <t>RUA FISCAL PERDIGÃO, 690 - CIDADE DOS FUNCIONÁRIO</t>
  </si>
  <si>
    <t>CAMARÃO INTEIRO FRECO</t>
  </si>
  <si>
    <t>MESSEPLAST</t>
  </si>
  <si>
    <t>SUPER</t>
  </si>
  <si>
    <t>85 3274.1286</t>
  </si>
  <si>
    <t>RUA PROF. JOSE HENRIQUE , 27  MESSEJANA</t>
  </si>
  <si>
    <t>AGS IMPRESSO DIGITAL LTDA</t>
  </si>
  <si>
    <t>22.292.121/0001-97</t>
  </si>
  <si>
    <t xml:space="preserve">ARACATI PEIXES E MARISCOS </t>
  </si>
  <si>
    <t>85 98535.3066</t>
  </si>
  <si>
    <t>RUA CORONEL GUILHERME ALENCAR, 81 - 44.729.452/0001-84</t>
  </si>
  <si>
    <t>PIX/DINHEIRO</t>
  </si>
  <si>
    <t>DCVR COMERCIO DE ALIMENTOS</t>
  </si>
  <si>
    <t>81 815187870</t>
  </si>
  <si>
    <t xml:space="preserve">RUA JOSÉ MOGICA, 10  ESCADA COM GRADEADO - PAUPINA </t>
  </si>
  <si>
    <t>HENDERSON D. CAVALCANTE LTDA (CASA SUSHI)</t>
  </si>
  <si>
    <t>Vencimento</t>
  </si>
  <si>
    <t>Status</t>
  </si>
  <si>
    <t>Data Pagamento</t>
  </si>
  <si>
    <t xml:space="preserve">ENEL </t>
  </si>
  <si>
    <t>PG</t>
  </si>
  <si>
    <t>Data Recebimento</t>
  </si>
  <si>
    <t>Pedido</t>
  </si>
  <si>
    <t>Bairro</t>
  </si>
  <si>
    <t>Entregador</t>
  </si>
  <si>
    <t>Taxa Entrega</t>
  </si>
  <si>
    <t>Custo Combustível</t>
  </si>
  <si>
    <t>Lucro Entrega</t>
  </si>
  <si>
    <t>INVESTIMENTO</t>
  </si>
  <si>
    <t>DATA</t>
  </si>
  <si>
    <t>VALOR</t>
  </si>
  <si>
    <t>FORMA</t>
  </si>
  <si>
    <t>ROBÉRIO</t>
  </si>
  <si>
    <t>CARTAO PARCELADO</t>
  </si>
  <si>
    <t>CAMARÃO</t>
  </si>
  <si>
    <t>SALMÃO</t>
  </si>
  <si>
    <t>CAMARÃO E PEIXE</t>
  </si>
  <si>
    <t>TAPETE</t>
  </si>
  <si>
    <t>LUMINARIAS</t>
  </si>
  <si>
    <t>SOQUETES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</si>
</sst>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$&quot;* #,##0.00_-;\-&quot;R$&quot;* #,##0.00_-;_-&quot;R$&quot;* &quot;-&quot;??_-;_-@"/>
    <numFmt numFmtId="165" formatCode="dd/mm/yy"/>
  </numFmts>
  <fonts count="10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66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DDD9C3"/>
        <bgColor rgb="FFDDD9C3"/>
      </patternFill>
    </fill>
    <fill>
      <patternFill patternType="solid">
        <fgColor rgb="FFD8E4BC"/>
        <bgColor rgb="FFD8E4BC"/>
      </patternFill>
    </fill>
    <fill>
      <patternFill patternType="solid">
        <fgColor rgb="FFDDD9C4"/>
        <bgColor rgb="FFDDD9C4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C4BD97"/>
        <bgColor rgb="FFC4BD97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4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3" fillId="2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5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3" fillId="0" borderId="1" xfId="0" applyNumberFormat="1" applyFont="1" applyBorder="1"/>
    <xf numFmtId="0" fontId="3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3" fillId="0" borderId="1" xfId="0" applyNumberFormat="1" applyFont="1" applyBorder="1"/>
    <xf numFmtId="164" fontId="5" fillId="0" borderId="1" xfId="0" applyNumberFormat="1" applyFont="1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14" fontId="2" fillId="4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vertical="center"/>
    </xf>
    <xf numFmtId="0" fontId="3" fillId="2" borderId="6" xfId="0" applyFont="1" applyFill="1" applyBorder="1"/>
    <xf numFmtId="0" fontId="2" fillId="2" borderId="6" xfId="0" applyFont="1" applyFill="1" applyBorder="1"/>
    <xf numFmtId="0" fontId="3" fillId="2" borderId="6" xfId="0" applyFont="1" applyFill="1" applyBorder="1" applyAlignment="1">
      <alignment horizontal="center"/>
    </xf>
    <xf numFmtId="164" fontId="3" fillId="2" borderId="6" xfId="0" applyNumberFormat="1" applyFont="1" applyFill="1" applyBorder="1"/>
    <xf numFmtId="0" fontId="2" fillId="2" borderId="6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164" fontId="2" fillId="3" borderId="12" xfId="0" applyNumberFormat="1" applyFont="1" applyFill="1" applyBorder="1"/>
    <xf numFmtId="0" fontId="5" fillId="3" borderId="9" xfId="0" applyFont="1" applyFill="1" applyBorder="1" applyAlignment="1">
      <alignment horizontal="left"/>
    </xf>
    <xf numFmtId="164" fontId="2" fillId="3" borderId="9" xfId="0" applyNumberFormat="1" applyFont="1" applyFill="1" applyBorder="1"/>
    <xf numFmtId="0" fontId="2" fillId="3" borderId="9" xfId="0" applyFont="1" applyFill="1" applyBorder="1" applyAlignment="1">
      <alignment horizontal="center" vertical="center"/>
    </xf>
    <xf numFmtId="0" fontId="7" fillId="5" borderId="1" xfId="0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164" fontId="2" fillId="7" borderId="1" xfId="0" applyNumberFormat="1" applyFont="1" applyFill="1" applyBorder="1"/>
    <xf numFmtId="0" fontId="2" fillId="7" borderId="1" xfId="0" applyFont="1" applyFill="1" applyBorder="1"/>
    <xf numFmtId="0" fontId="5" fillId="7" borderId="6" xfId="0" applyFont="1" applyFill="1" applyBorder="1" applyAlignment="1">
      <alignment horizontal="left"/>
    </xf>
    <xf numFmtId="0" fontId="5" fillId="7" borderId="1" xfId="0" applyFont="1" applyFill="1" applyBorder="1"/>
    <xf numFmtId="0" fontId="2" fillId="7" borderId="6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14" fontId="5" fillId="4" borderId="1" xfId="0" applyNumberFormat="1" applyFont="1" applyFill="1" applyBorder="1"/>
    <xf numFmtId="164" fontId="5" fillId="4" borderId="1" xfId="0" applyNumberFormat="1" applyFont="1" applyFill="1" applyBorder="1"/>
    <xf numFmtId="14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0" fontId="2" fillId="4" borderId="1" xfId="0" applyFont="1" applyFill="1" applyBorder="1"/>
    <xf numFmtId="14" fontId="2" fillId="9" borderId="1" xfId="0" applyNumberFormat="1" applyFont="1" applyFill="1" applyBorder="1"/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/>
    <xf numFmtId="0" fontId="7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9" borderId="1" xfId="0" applyFont="1" applyFill="1" applyBorder="1"/>
    <xf numFmtId="0" fontId="2" fillId="9" borderId="6" xfId="0" applyFont="1" applyFill="1" applyBorder="1" applyAlignment="1">
      <alignment horizontal="center"/>
    </xf>
    <xf numFmtId="14" fontId="2" fillId="9" borderId="6" xfId="0" applyNumberFormat="1" applyFont="1" applyFill="1" applyBorder="1"/>
    <xf numFmtId="0" fontId="2" fillId="9" borderId="16" xfId="0" applyFont="1" applyFill="1" applyBorder="1" applyAlignment="1">
      <alignment horizontal="center"/>
    </xf>
    <xf numFmtId="164" fontId="2" fillId="9" borderId="16" xfId="0" applyNumberFormat="1" applyFont="1" applyFill="1" applyBorder="1"/>
    <xf numFmtId="0" fontId="2" fillId="4" borderId="6" xfId="0" applyFont="1" applyFill="1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6" xfId="0" applyFont="1" applyFill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vertical="center"/>
    </xf>
    <xf numFmtId="0" fontId="4" fillId="0" borderId="1" xfId="0" applyFont="1" applyBorder="1"/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0" borderId="6" xfId="0" applyFont="1" applyBorder="1"/>
    <xf numFmtId="0" fontId="3" fillId="4" borderId="1" xfId="0" applyFont="1" applyFill="1" applyBorder="1"/>
    <xf numFmtId="1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6" fillId="0" borderId="3" xfId="0" applyFont="1" applyBorder="1"/>
    <xf numFmtId="14" fontId="2" fillId="3" borderId="11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 vertical="center"/>
    </xf>
    <xf numFmtId="0" fontId="6" fillId="0" borderId="4" xfId="0" applyFont="1" applyBorder="1"/>
    <xf numFmtId="0" fontId="7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1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top"/>
    </xf>
    <xf numFmtId="14" fontId="7" fillId="8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6" fillId="0" borderId="15" xfId="0" applyFont="1" applyBorder="1"/>
    <xf numFmtId="0" fontId="7" fillId="7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3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left" vertical="center"/>
    </xf>
    <xf numFmtId="14" fontId="2" fillId="0" borderId="2" xfId="0" applyNumberFormat="1" applyFont="1" applyBorder="1" applyAlignment="1">
      <alignment horizontal="right" vertical="center"/>
    </xf>
    <xf numFmtId="0" fontId="2" fillId="9" borderId="2" xfId="0" applyFont="1" applyFill="1" applyBorder="1" applyAlignment="1">
      <alignment horizontal="center" vertical="center"/>
    </xf>
    <xf numFmtId="14" fontId="2" fillId="9" borderId="17" xfId="0" applyNumberFormat="1" applyFont="1" applyFill="1" applyBorder="1" applyAlignment="1">
      <alignment horizontal="center"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2" fillId="4" borderId="2" xfId="0" applyFont="1" applyFill="1" applyBorder="1" applyAlignment="1">
      <alignment horizontal="left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6" fillId="0" borderId="18" xfId="0" applyFont="1" applyBorder="1"/>
    <xf numFmtId="0" fontId="2" fillId="3" borderId="19" xfId="0" applyFont="1" applyFill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/>
  </sheetViews>
  <sheetFormatPr defaultColWidth="14.42578125" defaultRowHeight="15" customHeight="1"/>
  <cols>
    <col min="1" max="1" width="23" customWidth="1"/>
    <col min="2" max="2" width="24" customWidth="1"/>
    <col min="3" max="4" width="10.85546875" customWidth="1"/>
    <col min="5" max="11" width="8.85546875" customWidth="1"/>
  </cols>
  <sheetData>
    <row r="1" spans="1:5">
      <c r="A1" s="1" t="s">
        <v>0</v>
      </c>
      <c r="B1" s="1" t="s">
        <v>1</v>
      </c>
    </row>
    <row r="2" spans="1:5">
      <c r="A2" t="s">
        <v>2</v>
      </c>
      <c r="B2" s="2">
        <f>SUM(Vendas!F:F)</f>
        <v>18234.459099999985</v>
      </c>
    </row>
    <row r="3" spans="1:5">
      <c r="A3" t="s">
        <v>3</v>
      </c>
      <c r="B3" s="2">
        <f>SUM(Despesas!D:D)</f>
        <v>23739.779999999995</v>
      </c>
    </row>
    <row r="4" spans="1:5">
      <c r="A4" t="s">
        <v>4</v>
      </c>
      <c r="B4" s="2">
        <f>B2-B3+G9+D14+Dashboard!B37+Dashboard!H22</f>
        <v>-5505.3209000000097</v>
      </c>
      <c r="D4">
        <v>1829.52</v>
      </c>
      <c r="E4" t="s">
        <v>5</v>
      </c>
    </row>
    <row r="5" spans="1:5">
      <c r="D5" s="3">
        <f>B4+D4</f>
        <v>-3675.8009000000097</v>
      </c>
    </row>
    <row r="6" spans="1:5">
      <c r="C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2"/>
  <sheetViews>
    <sheetView workbookViewId="0"/>
  </sheetViews>
  <sheetFormatPr defaultColWidth="14.42578125" defaultRowHeight="15" customHeight="1"/>
  <cols>
    <col min="1" max="1" width="10" customWidth="1"/>
    <col min="2" max="2" width="23.5703125" customWidth="1"/>
    <col min="3" max="3" width="28.7109375" customWidth="1"/>
    <col min="4" max="4" width="10.28515625" customWidth="1"/>
    <col min="5" max="5" width="20" customWidth="1"/>
    <col min="6" max="6" width="17" customWidth="1"/>
    <col min="7" max="7" width="21" customWidth="1"/>
    <col min="8" max="8" width="10" customWidth="1"/>
    <col min="9" max="9" width="19" customWidth="1"/>
    <col min="10" max="10" width="20" customWidth="1"/>
    <col min="11" max="17" width="8.85546875" customWidth="1"/>
    <col min="18" max="18" width="27.42578125" customWidth="1"/>
    <col min="19" max="19" width="8.85546875" customWidth="1"/>
    <col min="20" max="20" width="14.85546875" customWidth="1"/>
  </cols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4">
        <v>46162</v>
      </c>
      <c r="B2" s="5"/>
      <c r="C2" s="5" t="s">
        <v>16</v>
      </c>
      <c r="D2" s="6">
        <v>1</v>
      </c>
      <c r="E2" s="7">
        <v>34.9</v>
      </c>
      <c r="F2" s="7">
        <f t="shared" ref="F2:F309" si="0">D2*E2</f>
        <v>34.9</v>
      </c>
      <c r="G2" s="6" t="s">
        <v>17</v>
      </c>
      <c r="H2" s="5"/>
      <c r="I2" s="8">
        <f t="shared" ref="I2:I309" si="1">F2-H2</f>
        <v>34.9</v>
      </c>
      <c r="J2" s="9" t="s">
        <v>18</v>
      </c>
    </row>
    <row r="3" spans="1:10">
      <c r="A3" s="4">
        <v>46163</v>
      </c>
      <c r="B3" s="5"/>
      <c r="C3" s="5" t="s">
        <v>16</v>
      </c>
      <c r="D3" s="6">
        <v>1</v>
      </c>
      <c r="E3" s="7">
        <v>34.9</v>
      </c>
      <c r="F3" s="7">
        <f t="shared" si="0"/>
        <v>34.9</v>
      </c>
      <c r="G3" s="6" t="s">
        <v>19</v>
      </c>
      <c r="H3" s="5"/>
      <c r="I3" s="8">
        <f t="shared" si="1"/>
        <v>34.9</v>
      </c>
      <c r="J3" s="9" t="s">
        <v>18</v>
      </c>
    </row>
    <row r="4" spans="1:10">
      <c r="A4" s="4">
        <v>46164</v>
      </c>
      <c r="B4" s="5"/>
      <c r="C4" s="5" t="s">
        <v>16</v>
      </c>
      <c r="D4" s="10">
        <v>1</v>
      </c>
      <c r="E4" s="11">
        <v>29.9</v>
      </c>
      <c r="F4" s="7">
        <f t="shared" si="0"/>
        <v>29.9</v>
      </c>
      <c r="G4" s="6" t="s">
        <v>19</v>
      </c>
      <c r="H4" s="5"/>
      <c r="I4" s="8">
        <f t="shared" si="1"/>
        <v>29.9</v>
      </c>
      <c r="J4" s="9" t="s">
        <v>20</v>
      </c>
    </row>
    <row r="5" spans="1:10">
      <c r="A5" s="4">
        <v>46165</v>
      </c>
      <c r="B5" s="5"/>
      <c r="C5" s="5" t="s">
        <v>16</v>
      </c>
      <c r="D5" s="6">
        <v>1</v>
      </c>
      <c r="E5" s="7">
        <v>33.950000000000003</v>
      </c>
      <c r="F5" s="7">
        <f t="shared" si="0"/>
        <v>33.950000000000003</v>
      </c>
      <c r="G5" s="6" t="s">
        <v>21</v>
      </c>
      <c r="H5" s="5"/>
      <c r="I5" s="8">
        <f t="shared" si="1"/>
        <v>33.950000000000003</v>
      </c>
      <c r="J5" s="9" t="s">
        <v>18</v>
      </c>
    </row>
    <row r="6" spans="1:10">
      <c r="A6" s="4">
        <v>46166</v>
      </c>
      <c r="B6" s="5"/>
      <c r="C6" s="12" t="s">
        <v>22</v>
      </c>
      <c r="D6" s="6">
        <v>1</v>
      </c>
      <c r="E6" s="7">
        <v>60.9</v>
      </c>
      <c r="F6" s="7">
        <f t="shared" si="0"/>
        <v>60.9</v>
      </c>
      <c r="G6" s="6" t="s">
        <v>19</v>
      </c>
      <c r="H6" s="5"/>
      <c r="I6" s="8">
        <f t="shared" si="1"/>
        <v>60.9</v>
      </c>
      <c r="J6" s="9" t="s">
        <v>20</v>
      </c>
    </row>
    <row r="7" spans="1:10">
      <c r="A7" s="4">
        <v>46167</v>
      </c>
      <c r="B7" s="5"/>
      <c r="C7" s="12" t="s">
        <v>23</v>
      </c>
      <c r="D7" s="6">
        <v>1.1000000000000001</v>
      </c>
      <c r="E7" s="7">
        <v>50.1</v>
      </c>
      <c r="F7" s="7">
        <f t="shared" si="0"/>
        <v>55.110000000000007</v>
      </c>
      <c r="G7" s="6" t="s">
        <v>21</v>
      </c>
      <c r="H7" s="5"/>
      <c r="I7" s="8">
        <f t="shared" si="1"/>
        <v>55.110000000000007</v>
      </c>
      <c r="J7" s="9" t="s">
        <v>18</v>
      </c>
    </row>
    <row r="8" spans="1:10">
      <c r="A8" s="4">
        <v>46168</v>
      </c>
      <c r="B8" s="5"/>
      <c r="C8" s="12" t="s">
        <v>22</v>
      </c>
      <c r="D8" s="6">
        <v>1</v>
      </c>
      <c r="E8" s="7">
        <v>74.900000000000006</v>
      </c>
      <c r="F8" s="7">
        <f t="shared" si="0"/>
        <v>74.900000000000006</v>
      </c>
      <c r="G8" s="5"/>
      <c r="H8" s="5"/>
      <c r="I8" s="8">
        <f t="shared" si="1"/>
        <v>74.900000000000006</v>
      </c>
      <c r="J8" s="9" t="s">
        <v>18</v>
      </c>
    </row>
    <row r="9" spans="1:10">
      <c r="A9" s="4">
        <v>46169</v>
      </c>
      <c r="B9" s="5" t="s">
        <v>24</v>
      </c>
      <c r="C9" s="5" t="s">
        <v>16</v>
      </c>
      <c r="D9" s="6">
        <v>1</v>
      </c>
      <c r="E9" s="7">
        <v>34.9</v>
      </c>
      <c r="F9" s="7">
        <f t="shared" si="0"/>
        <v>34.9</v>
      </c>
      <c r="G9" s="6" t="s">
        <v>19</v>
      </c>
      <c r="H9" s="5"/>
      <c r="I9" s="8">
        <f t="shared" si="1"/>
        <v>34.9</v>
      </c>
      <c r="J9" s="9" t="s">
        <v>18</v>
      </c>
    </row>
    <row r="10" spans="1:10">
      <c r="A10" s="4">
        <v>46170</v>
      </c>
      <c r="B10" s="5"/>
      <c r="C10" s="12" t="s">
        <v>23</v>
      </c>
      <c r="D10" s="6">
        <v>1</v>
      </c>
      <c r="E10" s="7">
        <v>29</v>
      </c>
      <c r="F10" s="7">
        <f t="shared" si="0"/>
        <v>29</v>
      </c>
      <c r="G10" s="6" t="s">
        <v>19</v>
      </c>
      <c r="H10" s="5"/>
      <c r="I10" s="8">
        <f t="shared" si="1"/>
        <v>29</v>
      </c>
      <c r="J10" s="9" t="s">
        <v>18</v>
      </c>
    </row>
    <row r="11" spans="1:10">
      <c r="A11" s="4">
        <v>46171</v>
      </c>
      <c r="B11" s="5" t="s">
        <v>25</v>
      </c>
      <c r="C11" s="5" t="s">
        <v>16</v>
      </c>
      <c r="D11" s="6">
        <v>1</v>
      </c>
      <c r="E11" s="7">
        <v>34.9</v>
      </c>
      <c r="F11" s="7">
        <f t="shared" si="0"/>
        <v>34.9</v>
      </c>
      <c r="G11" s="6" t="s">
        <v>19</v>
      </c>
      <c r="H11" s="5"/>
      <c r="I11" s="8">
        <f t="shared" si="1"/>
        <v>34.9</v>
      </c>
      <c r="J11" s="9" t="s">
        <v>18</v>
      </c>
    </row>
    <row r="12" spans="1:10">
      <c r="A12" s="13">
        <v>46196</v>
      </c>
      <c r="B12" s="5"/>
      <c r="C12" s="5" t="s">
        <v>16</v>
      </c>
      <c r="D12" s="6">
        <v>1</v>
      </c>
      <c r="E12" s="7">
        <v>34.9</v>
      </c>
      <c r="F12" s="7">
        <f t="shared" si="0"/>
        <v>34.9</v>
      </c>
      <c r="G12" s="6" t="s">
        <v>19</v>
      </c>
      <c r="H12" s="5"/>
      <c r="I12" s="8">
        <f t="shared" si="1"/>
        <v>34.9</v>
      </c>
      <c r="J12" s="9" t="s">
        <v>18</v>
      </c>
    </row>
    <row r="13" spans="1:10">
      <c r="A13" s="13">
        <v>46196</v>
      </c>
      <c r="B13" s="5"/>
      <c r="C13" s="5" t="s">
        <v>16</v>
      </c>
      <c r="D13" s="6">
        <v>1</v>
      </c>
      <c r="E13" s="7">
        <v>34.9</v>
      </c>
      <c r="F13" s="7">
        <f t="shared" si="0"/>
        <v>34.9</v>
      </c>
      <c r="G13" s="6" t="s">
        <v>19</v>
      </c>
      <c r="H13" s="5"/>
      <c r="I13" s="8">
        <f t="shared" si="1"/>
        <v>34.9</v>
      </c>
      <c r="J13" s="9" t="s">
        <v>18</v>
      </c>
    </row>
    <row r="14" spans="1:10">
      <c r="A14" s="4">
        <v>46166</v>
      </c>
      <c r="B14" s="5"/>
      <c r="C14" s="12" t="s">
        <v>23</v>
      </c>
      <c r="D14" s="6">
        <v>1</v>
      </c>
      <c r="E14" s="7">
        <v>54.9</v>
      </c>
      <c r="F14" s="7">
        <f t="shared" si="0"/>
        <v>54.9</v>
      </c>
      <c r="G14" s="5"/>
      <c r="H14" s="5"/>
      <c r="I14" s="8">
        <f t="shared" si="1"/>
        <v>54.9</v>
      </c>
      <c r="J14" s="9" t="s">
        <v>18</v>
      </c>
    </row>
    <row r="15" spans="1:10">
      <c r="A15" s="4">
        <v>46167</v>
      </c>
      <c r="B15" s="5"/>
      <c r="C15" s="14" t="s">
        <v>26</v>
      </c>
      <c r="D15" s="6">
        <v>2</v>
      </c>
      <c r="E15" s="15">
        <v>119.9</v>
      </c>
      <c r="F15" s="7">
        <f t="shared" si="0"/>
        <v>239.8</v>
      </c>
      <c r="G15" s="5"/>
      <c r="H15" s="5"/>
      <c r="I15" s="8">
        <f t="shared" si="1"/>
        <v>239.8</v>
      </c>
      <c r="J15" s="9" t="s">
        <v>18</v>
      </c>
    </row>
    <row r="16" spans="1:10">
      <c r="A16" s="4">
        <v>46167</v>
      </c>
      <c r="B16" s="5"/>
      <c r="C16" s="16" t="s">
        <v>23</v>
      </c>
      <c r="D16" s="6">
        <v>2</v>
      </c>
      <c r="E16" s="15">
        <v>46.31</v>
      </c>
      <c r="F16" s="7">
        <f t="shared" si="0"/>
        <v>92.62</v>
      </c>
      <c r="G16" s="5"/>
      <c r="H16" s="5"/>
      <c r="I16" s="8">
        <f t="shared" si="1"/>
        <v>92.62</v>
      </c>
      <c r="J16" s="9" t="s">
        <v>18</v>
      </c>
    </row>
    <row r="17" spans="1:10">
      <c r="A17" s="4">
        <v>46169</v>
      </c>
      <c r="B17" s="5"/>
      <c r="C17" s="12" t="s">
        <v>27</v>
      </c>
      <c r="D17" s="6">
        <v>1</v>
      </c>
      <c r="E17" s="7"/>
      <c r="F17" s="7">
        <f t="shared" si="0"/>
        <v>0</v>
      </c>
      <c r="G17" s="5"/>
      <c r="H17" s="5"/>
      <c r="I17" s="8">
        <f t="shared" si="1"/>
        <v>0</v>
      </c>
      <c r="J17" s="17" t="s">
        <v>28</v>
      </c>
    </row>
    <row r="18" spans="1:10">
      <c r="A18" s="4">
        <v>46171</v>
      </c>
      <c r="B18" s="18" t="s">
        <v>29</v>
      </c>
      <c r="C18" s="12" t="s">
        <v>23</v>
      </c>
      <c r="D18" s="6">
        <v>2</v>
      </c>
      <c r="E18" s="7">
        <v>54.9</v>
      </c>
      <c r="F18" s="7">
        <f t="shared" si="0"/>
        <v>109.8</v>
      </c>
      <c r="G18" s="6" t="s">
        <v>19</v>
      </c>
      <c r="H18" s="5"/>
      <c r="I18" s="8">
        <f t="shared" si="1"/>
        <v>109.8</v>
      </c>
      <c r="J18" s="9" t="s">
        <v>18</v>
      </c>
    </row>
    <row r="19" spans="1:10">
      <c r="A19" s="4">
        <v>46171</v>
      </c>
      <c r="B19" s="18"/>
      <c r="C19" s="12" t="s">
        <v>23</v>
      </c>
      <c r="D19" s="6">
        <v>1</v>
      </c>
      <c r="E19" s="7">
        <v>54.9</v>
      </c>
      <c r="F19" s="7">
        <f t="shared" si="0"/>
        <v>54.9</v>
      </c>
      <c r="G19" s="5"/>
      <c r="H19" s="5"/>
      <c r="I19" s="8">
        <f t="shared" si="1"/>
        <v>54.9</v>
      </c>
      <c r="J19" s="9" t="s">
        <v>18</v>
      </c>
    </row>
    <row r="20" spans="1:10">
      <c r="A20" s="4">
        <v>46171</v>
      </c>
      <c r="B20" s="18"/>
      <c r="C20" s="5" t="s">
        <v>16</v>
      </c>
      <c r="D20" s="6">
        <v>1</v>
      </c>
      <c r="E20" s="7">
        <v>34.9</v>
      </c>
      <c r="F20" s="7">
        <f t="shared" si="0"/>
        <v>34.9</v>
      </c>
      <c r="G20" s="6" t="s">
        <v>19</v>
      </c>
      <c r="H20" s="5"/>
      <c r="I20" s="8">
        <f t="shared" si="1"/>
        <v>34.9</v>
      </c>
      <c r="J20" s="9" t="s">
        <v>18</v>
      </c>
    </row>
    <row r="21" spans="1:10" ht="15.75" customHeight="1">
      <c r="A21" s="4">
        <v>46172</v>
      </c>
      <c r="B21" s="18"/>
      <c r="C21" s="5" t="s">
        <v>16</v>
      </c>
      <c r="D21" s="6">
        <v>2</v>
      </c>
      <c r="E21" s="7">
        <v>34.9</v>
      </c>
      <c r="F21" s="7">
        <f t="shared" si="0"/>
        <v>69.8</v>
      </c>
      <c r="G21" s="5"/>
      <c r="H21" s="5"/>
      <c r="I21" s="8">
        <f t="shared" si="1"/>
        <v>69.8</v>
      </c>
      <c r="J21" s="9" t="s">
        <v>18</v>
      </c>
    </row>
    <row r="22" spans="1:10" ht="15.75" customHeight="1">
      <c r="A22" s="4">
        <v>46172</v>
      </c>
      <c r="B22" s="18"/>
      <c r="C22" s="12" t="s">
        <v>23</v>
      </c>
      <c r="D22" s="6">
        <v>1</v>
      </c>
      <c r="E22" s="7">
        <v>54.9</v>
      </c>
      <c r="F22" s="7">
        <f t="shared" si="0"/>
        <v>54.9</v>
      </c>
      <c r="G22" s="6" t="s">
        <v>19</v>
      </c>
      <c r="H22" s="5"/>
      <c r="I22" s="8">
        <f t="shared" si="1"/>
        <v>54.9</v>
      </c>
      <c r="J22" s="9" t="s">
        <v>18</v>
      </c>
    </row>
    <row r="23" spans="1:10" ht="15.75" customHeight="1">
      <c r="A23" s="4">
        <v>46172</v>
      </c>
      <c r="B23" s="18" t="s">
        <v>30</v>
      </c>
      <c r="C23" s="5" t="s">
        <v>16</v>
      </c>
      <c r="D23" s="6">
        <v>2</v>
      </c>
      <c r="E23" s="7">
        <v>34.9</v>
      </c>
      <c r="F23" s="7">
        <f t="shared" si="0"/>
        <v>69.8</v>
      </c>
      <c r="G23" s="6" t="s">
        <v>19</v>
      </c>
      <c r="H23" s="5"/>
      <c r="I23" s="8">
        <f t="shared" si="1"/>
        <v>69.8</v>
      </c>
      <c r="J23" s="19"/>
    </row>
    <row r="24" spans="1:10" ht="15.75" customHeight="1">
      <c r="A24" s="4">
        <v>46173</v>
      </c>
      <c r="B24" s="18"/>
      <c r="C24" s="12" t="s">
        <v>23</v>
      </c>
      <c r="D24" s="6">
        <v>2</v>
      </c>
      <c r="E24" s="7">
        <v>54.9</v>
      </c>
      <c r="F24" s="7">
        <f t="shared" si="0"/>
        <v>109.8</v>
      </c>
      <c r="G24" s="6" t="s">
        <v>19</v>
      </c>
      <c r="H24" s="5"/>
      <c r="I24" s="8">
        <f t="shared" si="1"/>
        <v>109.8</v>
      </c>
      <c r="J24" s="19"/>
    </row>
    <row r="25" spans="1:10" ht="15.75" customHeight="1">
      <c r="A25" s="4">
        <v>46173</v>
      </c>
      <c r="B25" s="18"/>
      <c r="C25" s="5" t="s">
        <v>16</v>
      </c>
      <c r="D25" s="6">
        <v>1</v>
      </c>
      <c r="E25" s="7">
        <v>34.9</v>
      </c>
      <c r="F25" s="7">
        <f t="shared" si="0"/>
        <v>34.9</v>
      </c>
      <c r="G25" s="6" t="s">
        <v>31</v>
      </c>
      <c r="H25" s="5"/>
      <c r="I25" s="8">
        <f t="shared" si="1"/>
        <v>34.9</v>
      </c>
      <c r="J25" s="19"/>
    </row>
    <row r="26" spans="1:10" ht="15.75" customHeight="1">
      <c r="A26" s="4">
        <v>46173</v>
      </c>
      <c r="B26" s="18" t="s">
        <v>32</v>
      </c>
      <c r="C26" s="5" t="s">
        <v>16</v>
      </c>
      <c r="D26" s="6">
        <v>2</v>
      </c>
      <c r="E26" s="7">
        <v>34.9</v>
      </c>
      <c r="F26" s="7">
        <f t="shared" si="0"/>
        <v>69.8</v>
      </c>
      <c r="G26" s="6" t="s">
        <v>19</v>
      </c>
      <c r="H26" s="5"/>
      <c r="I26" s="8">
        <f t="shared" si="1"/>
        <v>69.8</v>
      </c>
      <c r="J26" s="19"/>
    </row>
    <row r="27" spans="1:10" ht="15.75" customHeight="1">
      <c r="A27" s="4">
        <v>46173</v>
      </c>
      <c r="B27" s="18" t="s">
        <v>33</v>
      </c>
      <c r="C27" s="5" t="s">
        <v>16</v>
      </c>
      <c r="D27" s="6">
        <v>2</v>
      </c>
      <c r="E27" s="7">
        <v>34.9</v>
      </c>
      <c r="F27" s="7">
        <f t="shared" si="0"/>
        <v>69.8</v>
      </c>
      <c r="G27" s="6" t="s">
        <v>19</v>
      </c>
      <c r="H27" s="5"/>
      <c r="I27" s="8">
        <f t="shared" si="1"/>
        <v>69.8</v>
      </c>
      <c r="J27" s="19"/>
    </row>
    <row r="28" spans="1:10" ht="15.75" customHeight="1">
      <c r="A28" s="20">
        <v>46174</v>
      </c>
      <c r="B28" s="21"/>
      <c r="C28" s="22" t="s">
        <v>23</v>
      </c>
      <c r="D28" s="9">
        <v>2</v>
      </c>
      <c r="E28" s="23">
        <v>54.9</v>
      </c>
      <c r="F28" s="23">
        <f t="shared" si="0"/>
        <v>109.8</v>
      </c>
      <c r="G28" s="9"/>
      <c r="H28" s="19"/>
      <c r="I28" s="24">
        <f t="shared" si="1"/>
        <v>109.8</v>
      </c>
      <c r="J28" s="19"/>
    </row>
    <row r="29" spans="1:10" ht="15.75" customHeight="1">
      <c r="A29" s="20">
        <v>46174</v>
      </c>
      <c r="B29" s="19"/>
      <c r="C29" s="25" t="s">
        <v>26</v>
      </c>
      <c r="D29" s="9">
        <v>2</v>
      </c>
      <c r="E29" s="23">
        <v>119.9</v>
      </c>
      <c r="F29" s="23">
        <f t="shared" si="0"/>
        <v>239.8</v>
      </c>
      <c r="G29" s="9"/>
      <c r="H29" s="19"/>
      <c r="I29" s="24">
        <f t="shared" si="1"/>
        <v>239.8</v>
      </c>
      <c r="J29" s="19"/>
    </row>
    <row r="30" spans="1:10" ht="15.75" customHeight="1">
      <c r="A30" s="20">
        <v>46178</v>
      </c>
      <c r="B30" s="9" t="s">
        <v>34</v>
      </c>
      <c r="C30" s="25" t="s">
        <v>26</v>
      </c>
      <c r="D30" s="9">
        <v>1</v>
      </c>
      <c r="E30" s="23">
        <v>120</v>
      </c>
      <c r="F30" s="23">
        <f t="shared" si="0"/>
        <v>120</v>
      </c>
      <c r="G30" s="9"/>
      <c r="H30" s="19"/>
      <c r="I30" s="24">
        <f t="shared" si="1"/>
        <v>120</v>
      </c>
      <c r="J30" s="19"/>
    </row>
    <row r="31" spans="1:10" ht="15.75" customHeight="1">
      <c r="A31" s="20">
        <v>46178</v>
      </c>
      <c r="B31" s="9" t="s">
        <v>34</v>
      </c>
      <c r="C31" s="19" t="s">
        <v>16</v>
      </c>
      <c r="D31" s="9">
        <v>1</v>
      </c>
      <c r="E31" s="26">
        <v>29.9</v>
      </c>
      <c r="F31" s="23">
        <f t="shared" si="0"/>
        <v>29.9</v>
      </c>
      <c r="G31" s="9"/>
      <c r="H31" s="19"/>
      <c r="I31" s="24">
        <f t="shared" si="1"/>
        <v>29.9</v>
      </c>
      <c r="J31" s="19"/>
    </row>
    <row r="32" spans="1:10" ht="15.75" customHeight="1">
      <c r="A32" s="20">
        <v>46178</v>
      </c>
      <c r="B32" s="9"/>
      <c r="C32" s="19" t="s">
        <v>16</v>
      </c>
      <c r="D32" s="9">
        <v>1</v>
      </c>
      <c r="E32" s="26">
        <v>29.9</v>
      </c>
      <c r="F32" s="23">
        <f t="shared" si="0"/>
        <v>29.9</v>
      </c>
      <c r="G32" s="9" t="s">
        <v>17</v>
      </c>
      <c r="H32" s="19"/>
      <c r="I32" s="24">
        <f t="shared" si="1"/>
        <v>29.9</v>
      </c>
      <c r="J32" s="19"/>
    </row>
    <row r="33" spans="1:10" ht="15.75" customHeight="1">
      <c r="A33" s="20">
        <v>46178</v>
      </c>
      <c r="B33" s="9" t="s">
        <v>35</v>
      </c>
      <c r="C33" s="27" t="s">
        <v>23</v>
      </c>
      <c r="D33" s="17">
        <v>2</v>
      </c>
      <c r="E33" s="28">
        <v>59.9</v>
      </c>
      <c r="F33" s="23">
        <f t="shared" si="0"/>
        <v>119.8</v>
      </c>
      <c r="G33" s="9"/>
      <c r="H33" s="19"/>
      <c r="I33" s="24">
        <f t="shared" si="1"/>
        <v>119.8</v>
      </c>
      <c r="J33" s="19"/>
    </row>
    <row r="34" spans="1:10" ht="15.75" customHeight="1">
      <c r="A34" s="20">
        <v>46178</v>
      </c>
      <c r="B34" s="9" t="s">
        <v>35</v>
      </c>
      <c r="C34" s="25" t="s">
        <v>26</v>
      </c>
      <c r="D34" s="9">
        <v>0.69</v>
      </c>
      <c r="E34" s="26">
        <v>119.9</v>
      </c>
      <c r="F34" s="23">
        <f t="shared" si="0"/>
        <v>82.730999999999995</v>
      </c>
      <c r="G34" s="9"/>
      <c r="H34" s="19"/>
      <c r="I34" s="24">
        <f t="shared" si="1"/>
        <v>82.730999999999995</v>
      </c>
      <c r="J34" s="19"/>
    </row>
    <row r="35" spans="1:10" ht="15.75" customHeight="1">
      <c r="A35" s="20">
        <v>46178</v>
      </c>
      <c r="B35" s="9" t="s">
        <v>36</v>
      </c>
      <c r="C35" s="29" t="s">
        <v>23</v>
      </c>
      <c r="D35" s="9">
        <v>2</v>
      </c>
      <c r="E35" s="26">
        <v>49.9</v>
      </c>
      <c r="F35" s="23">
        <f t="shared" si="0"/>
        <v>99.8</v>
      </c>
      <c r="G35" s="9" t="s">
        <v>19</v>
      </c>
      <c r="H35" s="19"/>
      <c r="I35" s="24">
        <f t="shared" si="1"/>
        <v>99.8</v>
      </c>
      <c r="J35" s="19"/>
    </row>
    <row r="36" spans="1:10" ht="15.75" customHeight="1">
      <c r="A36" s="20">
        <v>46178</v>
      </c>
      <c r="B36" s="9" t="s">
        <v>37</v>
      </c>
      <c r="C36" s="19" t="s">
        <v>16</v>
      </c>
      <c r="D36" s="9">
        <v>1</v>
      </c>
      <c r="E36" s="26">
        <v>29.9</v>
      </c>
      <c r="F36" s="23">
        <f t="shared" si="0"/>
        <v>29.9</v>
      </c>
      <c r="G36" s="9" t="s">
        <v>19</v>
      </c>
      <c r="H36" s="19"/>
      <c r="I36" s="24">
        <f t="shared" si="1"/>
        <v>29.9</v>
      </c>
      <c r="J36" s="19"/>
    </row>
    <row r="37" spans="1:10" ht="15.75" customHeight="1">
      <c r="A37" s="20">
        <v>46178</v>
      </c>
      <c r="B37" s="9" t="s">
        <v>37</v>
      </c>
      <c r="C37" s="22" t="s">
        <v>27</v>
      </c>
      <c r="D37" s="9">
        <v>2</v>
      </c>
      <c r="E37" s="26">
        <v>55</v>
      </c>
      <c r="F37" s="23">
        <f t="shared" si="0"/>
        <v>110</v>
      </c>
      <c r="G37" s="9" t="s">
        <v>19</v>
      </c>
      <c r="H37" s="19"/>
      <c r="I37" s="24">
        <f t="shared" si="1"/>
        <v>110</v>
      </c>
      <c r="J37" s="19"/>
    </row>
    <row r="38" spans="1:10" ht="15.75" customHeight="1">
      <c r="A38" s="20">
        <v>46178</v>
      </c>
      <c r="B38" s="19"/>
      <c r="C38" s="22" t="s">
        <v>22</v>
      </c>
      <c r="D38" s="9">
        <v>1</v>
      </c>
      <c r="E38" s="26">
        <v>60</v>
      </c>
      <c r="F38" s="23">
        <f t="shared" si="0"/>
        <v>60</v>
      </c>
      <c r="G38" s="9" t="s">
        <v>19</v>
      </c>
      <c r="H38" s="19"/>
      <c r="I38" s="24">
        <f t="shared" si="1"/>
        <v>60</v>
      </c>
      <c r="J38" s="19"/>
    </row>
    <row r="39" spans="1:10" ht="15.75" customHeight="1">
      <c r="A39" s="20">
        <v>46178</v>
      </c>
      <c r="B39" s="19"/>
      <c r="C39" s="29" t="s">
        <v>23</v>
      </c>
      <c r="D39" s="9">
        <v>1</v>
      </c>
      <c r="E39" s="26">
        <v>49.9</v>
      </c>
      <c r="F39" s="23">
        <f t="shared" si="0"/>
        <v>49.9</v>
      </c>
      <c r="G39" s="9"/>
      <c r="H39" s="19"/>
      <c r="I39" s="24">
        <f t="shared" si="1"/>
        <v>49.9</v>
      </c>
      <c r="J39" s="19"/>
    </row>
    <row r="40" spans="1:10" ht="15.75" customHeight="1">
      <c r="A40" s="30">
        <v>46179</v>
      </c>
      <c r="B40" s="31" t="s">
        <v>38</v>
      </c>
      <c r="C40" s="27" t="s">
        <v>22</v>
      </c>
      <c r="D40" s="17">
        <v>9</v>
      </c>
      <c r="E40" s="22"/>
      <c r="F40" s="23">
        <f t="shared" si="0"/>
        <v>0</v>
      </c>
      <c r="G40" s="9"/>
      <c r="H40" s="19"/>
      <c r="I40" s="24">
        <f t="shared" si="1"/>
        <v>0</v>
      </c>
      <c r="J40" s="31" t="s">
        <v>39</v>
      </c>
    </row>
    <row r="41" spans="1:10" ht="15.75" customHeight="1">
      <c r="A41" s="32">
        <v>46179</v>
      </c>
      <c r="B41" s="19"/>
      <c r="C41" s="19" t="s">
        <v>16</v>
      </c>
      <c r="D41" s="9">
        <v>2</v>
      </c>
      <c r="E41" s="26">
        <v>29.9</v>
      </c>
      <c r="F41" s="23">
        <f t="shared" si="0"/>
        <v>59.8</v>
      </c>
      <c r="G41" s="9" t="s">
        <v>17</v>
      </c>
      <c r="H41" s="19"/>
      <c r="I41" s="24">
        <f t="shared" si="1"/>
        <v>59.8</v>
      </c>
      <c r="J41" s="19"/>
    </row>
    <row r="42" spans="1:10" ht="15.75" customHeight="1">
      <c r="A42" s="30">
        <v>46179</v>
      </c>
      <c r="B42" s="31"/>
      <c r="C42" s="31" t="s">
        <v>16</v>
      </c>
      <c r="D42" s="17">
        <v>1</v>
      </c>
      <c r="E42" s="22"/>
      <c r="F42" s="23">
        <f t="shared" si="0"/>
        <v>0</v>
      </c>
      <c r="G42" s="9"/>
      <c r="H42" s="19"/>
      <c r="I42" s="24">
        <f t="shared" si="1"/>
        <v>0</v>
      </c>
      <c r="J42" s="31" t="s">
        <v>40</v>
      </c>
    </row>
    <row r="43" spans="1:10" ht="15.75" customHeight="1">
      <c r="A43" s="32">
        <v>46179</v>
      </c>
      <c r="B43" s="9" t="s">
        <v>41</v>
      </c>
      <c r="C43" s="22" t="s">
        <v>27</v>
      </c>
      <c r="D43" s="9">
        <v>1</v>
      </c>
      <c r="E43" s="26">
        <v>55</v>
      </c>
      <c r="F43" s="23">
        <f t="shared" si="0"/>
        <v>55</v>
      </c>
      <c r="G43" s="9"/>
      <c r="H43" s="19"/>
      <c r="I43" s="24">
        <f t="shared" si="1"/>
        <v>55</v>
      </c>
      <c r="J43" s="19"/>
    </row>
    <row r="44" spans="1:10" ht="15.75" customHeight="1">
      <c r="A44" s="32">
        <v>46179</v>
      </c>
      <c r="B44" s="9" t="s">
        <v>41</v>
      </c>
      <c r="C44" s="25" t="s">
        <v>16</v>
      </c>
      <c r="D44" s="33">
        <v>2</v>
      </c>
      <c r="E44" s="26">
        <v>29.5</v>
      </c>
      <c r="F44" s="23">
        <f t="shared" si="0"/>
        <v>59</v>
      </c>
      <c r="G44" s="9"/>
      <c r="H44" s="19"/>
      <c r="I44" s="24">
        <f t="shared" si="1"/>
        <v>59</v>
      </c>
      <c r="J44" s="19"/>
    </row>
    <row r="45" spans="1:10" ht="15.75" customHeight="1">
      <c r="A45" s="20">
        <v>46180</v>
      </c>
      <c r="B45" s="9"/>
      <c r="C45" s="25" t="s">
        <v>16</v>
      </c>
      <c r="D45" s="9">
        <v>2</v>
      </c>
      <c r="E45" s="26">
        <v>29.9</v>
      </c>
      <c r="F45" s="23">
        <f t="shared" si="0"/>
        <v>59.8</v>
      </c>
      <c r="G45" s="9" t="s">
        <v>19</v>
      </c>
      <c r="H45" s="19"/>
      <c r="I45" s="24">
        <f t="shared" si="1"/>
        <v>59.8</v>
      </c>
      <c r="J45" s="19"/>
    </row>
    <row r="46" spans="1:10" ht="15.75" customHeight="1">
      <c r="A46" s="20">
        <v>46180</v>
      </c>
      <c r="B46" s="9"/>
      <c r="C46" s="22" t="s">
        <v>27</v>
      </c>
      <c r="D46" s="9">
        <v>1</v>
      </c>
      <c r="E46" s="24">
        <v>55</v>
      </c>
      <c r="F46" s="23">
        <f t="shared" si="0"/>
        <v>55</v>
      </c>
      <c r="G46" s="9" t="s">
        <v>19</v>
      </c>
      <c r="H46" s="19"/>
      <c r="I46" s="24">
        <f t="shared" si="1"/>
        <v>55</v>
      </c>
      <c r="J46" s="19"/>
    </row>
    <row r="47" spans="1:10" ht="15.75" customHeight="1">
      <c r="A47" s="20">
        <v>46180</v>
      </c>
      <c r="B47" s="9"/>
      <c r="C47" s="29" t="s">
        <v>23</v>
      </c>
      <c r="D47" s="9">
        <v>2</v>
      </c>
      <c r="E47" s="24">
        <v>49.9</v>
      </c>
      <c r="F47" s="23">
        <f t="shared" si="0"/>
        <v>99.8</v>
      </c>
      <c r="G47" s="9" t="s">
        <v>17</v>
      </c>
      <c r="H47" s="19"/>
      <c r="I47" s="24">
        <f t="shared" si="1"/>
        <v>99.8</v>
      </c>
      <c r="J47" s="19"/>
    </row>
    <row r="48" spans="1:10" ht="15.75" customHeight="1">
      <c r="A48" s="20">
        <v>46180</v>
      </c>
      <c r="B48" s="9"/>
      <c r="C48" s="25" t="s">
        <v>16</v>
      </c>
      <c r="D48" s="9">
        <v>2</v>
      </c>
      <c r="E48" s="24">
        <v>29.9</v>
      </c>
      <c r="F48" s="23">
        <f t="shared" si="0"/>
        <v>59.8</v>
      </c>
      <c r="G48" s="9" t="s">
        <v>19</v>
      </c>
      <c r="H48" s="19"/>
      <c r="I48" s="24">
        <f t="shared" si="1"/>
        <v>59.8</v>
      </c>
      <c r="J48" s="19"/>
    </row>
    <row r="49" spans="1:10" ht="15.75" customHeight="1">
      <c r="A49" s="20">
        <v>46180</v>
      </c>
      <c r="B49" s="9"/>
      <c r="C49" s="22" t="s">
        <v>27</v>
      </c>
      <c r="D49" s="9">
        <v>1</v>
      </c>
      <c r="E49" s="24">
        <v>55</v>
      </c>
      <c r="F49" s="23">
        <f t="shared" si="0"/>
        <v>55</v>
      </c>
      <c r="G49" s="9" t="s">
        <v>19</v>
      </c>
      <c r="H49" s="19"/>
      <c r="I49" s="24">
        <f t="shared" si="1"/>
        <v>55</v>
      </c>
      <c r="J49" s="19"/>
    </row>
    <row r="50" spans="1:10" ht="15.75" customHeight="1">
      <c r="A50" s="20">
        <v>46183</v>
      </c>
      <c r="B50" s="9"/>
      <c r="C50" s="25" t="s">
        <v>16</v>
      </c>
      <c r="D50" s="9">
        <v>2</v>
      </c>
      <c r="E50" s="24">
        <v>34.9</v>
      </c>
      <c r="F50" s="23">
        <f t="shared" si="0"/>
        <v>69.8</v>
      </c>
      <c r="G50" s="9"/>
      <c r="H50" s="19"/>
      <c r="I50" s="24">
        <f t="shared" si="1"/>
        <v>69.8</v>
      </c>
      <c r="J50" s="19"/>
    </row>
    <row r="51" spans="1:10" ht="15.75" customHeight="1">
      <c r="A51" s="34" t="s">
        <v>42</v>
      </c>
      <c r="B51" s="167" t="s">
        <v>43</v>
      </c>
      <c r="C51" s="25" t="s">
        <v>16</v>
      </c>
      <c r="D51" s="9">
        <v>1</v>
      </c>
      <c r="E51" s="24">
        <v>29.9</v>
      </c>
      <c r="F51" s="23">
        <f t="shared" si="0"/>
        <v>29.9</v>
      </c>
      <c r="G51" s="9" t="s">
        <v>19</v>
      </c>
      <c r="H51" s="19"/>
      <c r="I51" s="24">
        <f t="shared" si="1"/>
        <v>29.9</v>
      </c>
      <c r="J51" s="19"/>
    </row>
    <row r="52" spans="1:10" ht="15.75" customHeight="1">
      <c r="A52" s="20">
        <v>46184</v>
      </c>
      <c r="B52" s="151"/>
      <c r="C52" s="29" t="s">
        <v>23</v>
      </c>
      <c r="D52" s="9">
        <v>1.5</v>
      </c>
      <c r="E52" s="24">
        <v>49.9</v>
      </c>
      <c r="F52" s="23">
        <f t="shared" si="0"/>
        <v>74.849999999999994</v>
      </c>
      <c r="G52" s="9"/>
      <c r="H52" s="19"/>
      <c r="I52" s="24">
        <f t="shared" si="1"/>
        <v>74.849999999999994</v>
      </c>
      <c r="J52" s="19"/>
    </row>
    <row r="53" spans="1:10" ht="15.75" customHeight="1">
      <c r="A53" s="20">
        <v>46184</v>
      </c>
      <c r="B53" s="167" t="s">
        <v>24</v>
      </c>
      <c r="C53" s="25" t="s">
        <v>16</v>
      </c>
      <c r="D53" s="9">
        <v>1</v>
      </c>
      <c r="E53" s="35">
        <v>29.9</v>
      </c>
      <c r="F53" s="23">
        <f t="shared" si="0"/>
        <v>29.9</v>
      </c>
      <c r="G53" s="171" t="s">
        <v>19</v>
      </c>
      <c r="H53" s="19"/>
      <c r="I53" s="24">
        <f t="shared" si="1"/>
        <v>29.9</v>
      </c>
      <c r="J53" s="170" t="s">
        <v>44</v>
      </c>
    </row>
    <row r="54" spans="1:10" ht="15.75" customHeight="1">
      <c r="A54" s="20">
        <v>46184</v>
      </c>
      <c r="B54" s="151"/>
      <c r="C54" s="29" t="s">
        <v>23</v>
      </c>
      <c r="D54" s="9">
        <v>0.5</v>
      </c>
      <c r="E54" s="35">
        <v>52</v>
      </c>
      <c r="F54" s="23">
        <f t="shared" si="0"/>
        <v>26</v>
      </c>
      <c r="G54" s="151"/>
      <c r="H54" s="19"/>
      <c r="I54" s="24">
        <f t="shared" si="1"/>
        <v>26</v>
      </c>
      <c r="J54" s="151"/>
    </row>
    <row r="55" spans="1:10" ht="15.75" customHeight="1">
      <c r="A55" s="20">
        <v>46185</v>
      </c>
      <c r="B55" s="167" t="s">
        <v>45</v>
      </c>
      <c r="C55" s="25" t="s">
        <v>16</v>
      </c>
      <c r="D55" s="9">
        <v>1</v>
      </c>
      <c r="E55" s="24">
        <v>30</v>
      </c>
      <c r="F55" s="23">
        <f t="shared" si="0"/>
        <v>30</v>
      </c>
      <c r="G55" s="167" t="s">
        <v>19</v>
      </c>
      <c r="H55" s="19"/>
      <c r="I55" s="24">
        <f t="shared" si="1"/>
        <v>30</v>
      </c>
      <c r="J55" s="170" t="s">
        <v>46</v>
      </c>
    </row>
    <row r="56" spans="1:10" ht="15.75" customHeight="1">
      <c r="A56" s="20">
        <v>46185</v>
      </c>
      <c r="B56" s="151"/>
      <c r="C56" s="25" t="s">
        <v>16</v>
      </c>
      <c r="D56" s="9">
        <v>1</v>
      </c>
      <c r="E56" s="24">
        <v>30</v>
      </c>
      <c r="F56" s="23">
        <f t="shared" si="0"/>
        <v>30</v>
      </c>
      <c r="G56" s="151"/>
      <c r="H56" s="19"/>
      <c r="I56" s="24">
        <f t="shared" si="1"/>
        <v>30</v>
      </c>
      <c r="J56" s="151"/>
    </row>
    <row r="57" spans="1:10" ht="15.75" customHeight="1">
      <c r="A57" s="169">
        <v>46186</v>
      </c>
      <c r="B57" s="9"/>
      <c r="C57" s="25" t="s">
        <v>16</v>
      </c>
      <c r="D57" s="9">
        <v>2</v>
      </c>
      <c r="E57" s="24">
        <v>29.9</v>
      </c>
      <c r="F57" s="23">
        <f t="shared" si="0"/>
        <v>59.8</v>
      </c>
      <c r="G57" s="9"/>
      <c r="H57" s="19"/>
      <c r="I57" s="24">
        <f t="shared" si="1"/>
        <v>59.8</v>
      </c>
      <c r="J57" s="170" t="s">
        <v>44</v>
      </c>
    </row>
    <row r="58" spans="1:10" ht="15.75" customHeight="1">
      <c r="A58" s="151"/>
      <c r="B58" s="9"/>
      <c r="C58" s="29" t="s">
        <v>23</v>
      </c>
      <c r="D58" s="9">
        <v>1</v>
      </c>
      <c r="E58" s="24">
        <v>48.7</v>
      </c>
      <c r="F58" s="23">
        <f t="shared" si="0"/>
        <v>48.7</v>
      </c>
      <c r="G58" s="9"/>
      <c r="H58" s="19"/>
      <c r="I58" s="24">
        <f t="shared" si="1"/>
        <v>48.7</v>
      </c>
      <c r="J58" s="151"/>
    </row>
    <row r="59" spans="1:10" ht="15.75" customHeight="1">
      <c r="A59" s="20">
        <v>46186</v>
      </c>
      <c r="B59" s="19"/>
      <c r="C59" s="29" t="s">
        <v>23</v>
      </c>
      <c r="D59" s="9">
        <v>0.5</v>
      </c>
      <c r="E59" s="24">
        <v>50</v>
      </c>
      <c r="F59" s="23">
        <f t="shared" si="0"/>
        <v>25</v>
      </c>
      <c r="G59" s="9"/>
      <c r="H59" s="19"/>
      <c r="I59" s="24">
        <f t="shared" si="1"/>
        <v>25</v>
      </c>
      <c r="J59" s="19"/>
    </row>
    <row r="60" spans="1:10" ht="15.75" customHeight="1">
      <c r="A60" s="169">
        <v>46186</v>
      </c>
      <c r="B60" s="177" t="s">
        <v>47</v>
      </c>
      <c r="C60" s="22" t="s">
        <v>48</v>
      </c>
      <c r="D60" s="9">
        <v>1</v>
      </c>
      <c r="E60" s="35">
        <v>68</v>
      </c>
      <c r="F60" s="23">
        <f t="shared" si="0"/>
        <v>68</v>
      </c>
      <c r="G60" s="168" t="s">
        <v>19</v>
      </c>
      <c r="H60" s="19"/>
      <c r="I60" s="24">
        <f t="shared" si="1"/>
        <v>68</v>
      </c>
      <c r="J60" s="170" t="s">
        <v>49</v>
      </c>
    </row>
    <row r="61" spans="1:10" ht="15.75" customHeight="1">
      <c r="A61" s="151"/>
      <c r="B61" s="151"/>
      <c r="C61" s="29" t="s">
        <v>23</v>
      </c>
      <c r="D61" s="9">
        <v>0.5</v>
      </c>
      <c r="E61" s="35">
        <v>62</v>
      </c>
      <c r="F61" s="23">
        <f t="shared" si="0"/>
        <v>31</v>
      </c>
      <c r="G61" s="151"/>
      <c r="H61" s="19"/>
      <c r="I61" s="24">
        <f t="shared" si="1"/>
        <v>31</v>
      </c>
      <c r="J61" s="151"/>
    </row>
    <row r="62" spans="1:10" ht="15.75" customHeight="1">
      <c r="A62" s="169">
        <v>46187</v>
      </c>
      <c r="B62" s="171"/>
      <c r="C62" s="22" t="s">
        <v>48</v>
      </c>
      <c r="D62" s="9">
        <v>1</v>
      </c>
      <c r="E62" s="35">
        <v>68</v>
      </c>
      <c r="F62" s="23">
        <f t="shared" si="0"/>
        <v>68</v>
      </c>
      <c r="G62" s="167" t="s">
        <v>19</v>
      </c>
      <c r="H62" s="19"/>
      <c r="I62" s="24">
        <f t="shared" si="1"/>
        <v>68</v>
      </c>
      <c r="J62" s="170" t="s">
        <v>49</v>
      </c>
    </row>
    <row r="63" spans="1:10" ht="15.75" customHeight="1">
      <c r="A63" s="151"/>
      <c r="B63" s="151"/>
      <c r="C63" s="29" t="s">
        <v>23</v>
      </c>
      <c r="D63" s="9">
        <v>0.5</v>
      </c>
      <c r="E63" s="35">
        <v>62</v>
      </c>
      <c r="F63" s="23">
        <f t="shared" si="0"/>
        <v>31</v>
      </c>
      <c r="G63" s="151"/>
      <c r="H63" s="19"/>
      <c r="I63" s="24">
        <f t="shared" si="1"/>
        <v>31</v>
      </c>
      <c r="J63" s="151"/>
    </row>
    <row r="64" spans="1:10" ht="15.75" customHeight="1">
      <c r="A64" s="169">
        <v>46187</v>
      </c>
      <c r="B64" s="167" t="s">
        <v>50</v>
      </c>
      <c r="C64" s="29" t="s">
        <v>23</v>
      </c>
      <c r="D64" s="9">
        <v>1</v>
      </c>
      <c r="E64" s="35">
        <v>54.9</v>
      </c>
      <c r="F64" s="23">
        <f t="shared" si="0"/>
        <v>54.9</v>
      </c>
      <c r="G64" s="9"/>
      <c r="H64" s="19"/>
      <c r="I64" s="24">
        <f t="shared" si="1"/>
        <v>54.9</v>
      </c>
      <c r="J64" s="19"/>
    </row>
    <row r="65" spans="1:10" ht="15.75" customHeight="1">
      <c r="A65" s="151"/>
      <c r="B65" s="151"/>
      <c r="C65" s="22" t="s">
        <v>48</v>
      </c>
      <c r="D65" s="9">
        <v>2</v>
      </c>
      <c r="E65" s="35">
        <v>70</v>
      </c>
      <c r="F65" s="23">
        <f t="shared" si="0"/>
        <v>140</v>
      </c>
      <c r="G65" s="9" t="s">
        <v>19</v>
      </c>
      <c r="H65" s="19"/>
      <c r="I65" s="24">
        <f t="shared" si="1"/>
        <v>140</v>
      </c>
      <c r="J65" s="19"/>
    </row>
    <row r="66" spans="1:10" ht="15.75" customHeight="1">
      <c r="A66" s="20">
        <v>46190</v>
      </c>
      <c r="B66" s="21" t="s">
        <v>51</v>
      </c>
      <c r="C66" s="29" t="s">
        <v>23</v>
      </c>
      <c r="D66" s="9">
        <v>3.1</v>
      </c>
      <c r="E66" s="35">
        <v>54.84</v>
      </c>
      <c r="F66" s="23">
        <f t="shared" si="0"/>
        <v>170.00400000000002</v>
      </c>
      <c r="G66" s="9"/>
      <c r="H66" s="19"/>
      <c r="I66" s="24">
        <f t="shared" si="1"/>
        <v>170.00400000000002</v>
      </c>
      <c r="J66" s="19"/>
    </row>
    <row r="67" spans="1:10" ht="15.75" customHeight="1">
      <c r="A67" s="188">
        <v>46190</v>
      </c>
      <c r="B67" s="167" t="s">
        <v>52</v>
      </c>
      <c r="C67" s="25" t="s">
        <v>26</v>
      </c>
      <c r="D67" s="9">
        <v>2.8</v>
      </c>
      <c r="E67" s="36">
        <v>120</v>
      </c>
      <c r="F67" s="23">
        <f t="shared" si="0"/>
        <v>336</v>
      </c>
      <c r="G67" s="9"/>
      <c r="H67" s="19"/>
      <c r="I67" s="24">
        <f t="shared" si="1"/>
        <v>336</v>
      </c>
      <c r="J67" s="19"/>
    </row>
    <row r="68" spans="1:10" ht="15.75" customHeight="1">
      <c r="A68" s="151"/>
      <c r="B68" s="151"/>
      <c r="C68" s="29" t="s">
        <v>23</v>
      </c>
      <c r="D68" s="9">
        <v>1</v>
      </c>
      <c r="E68" s="35">
        <v>54.9</v>
      </c>
      <c r="F68" s="23">
        <f t="shared" si="0"/>
        <v>54.9</v>
      </c>
      <c r="G68" s="9"/>
      <c r="H68" s="19"/>
      <c r="I68" s="24">
        <f t="shared" si="1"/>
        <v>54.9</v>
      </c>
      <c r="J68" s="19"/>
    </row>
    <row r="69" spans="1:10" ht="15.75" customHeight="1">
      <c r="A69" s="20">
        <v>46190</v>
      </c>
      <c r="B69" s="21"/>
      <c r="C69" s="25" t="s">
        <v>16</v>
      </c>
      <c r="D69" s="9">
        <v>1</v>
      </c>
      <c r="E69" s="35">
        <v>29.9</v>
      </c>
      <c r="F69" s="23">
        <f t="shared" si="0"/>
        <v>29.9</v>
      </c>
      <c r="G69" s="9"/>
      <c r="H69" s="19"/>
      <c r="I69" s="24">
        <f t="shared" si="1"/>
        <v>29.9</v>
      </c>
      <c r="J69" s="19"/>
    </row>
    <row r="70" spans="1:10" ht="15.75" customHeight="1">
      <c r="A70" s="20">
        <v>46190</v>
      </c>
      <c r="B70" s="21"/>
      <c r="C70" s="25" t="s">
        <v>16</v>
      </c>
      <c r="D70" s="9">
        <v>2</v>
      </c>
      <c r="E70" s="35">
        <v>29.9</v>
      </c>
      <c r="F70" s="23">
        <f t="shared" si="0"/>
        <v>59.8</v>
      </c>
      <c r="G70" s="19"/>
      <c r="H70" s="19"/>
      <c r="I70" s="24">
        <f t="shared" si="1"/>
        <v>59.8</v>
      </c>
      <c r="J70" s="19"/>
    </row>
    <row r="71" spans="1:10" ht="15.75" customHeight="1">
      <c r="A71" s="20">
        <v>46191</v>
      </c>
      <c r="B71" s="21"/>
      <c r="C71" s="29" t="s">
        <v>23</v>
      </c>
      <c r="D71" s="9">
        <v>1</v>
      </c>
      <c r="E71" s="35">
        <v>49.9</v>
      </c>
      <c r="F71" s="23">
        <f t="shared" si="0"/>
        <v>49.9</v>
      </c>
      <c r="G71" s="9" t="s">
        <v>19</v>
      </c>
      <c r="H71" s="19"/>
      <c r="I71" s="24">
        <f t="shared" si="1"/>
        <v>49.9</v>
      </c>
      <c r="J71" s="19"/>
    </row>
    <row r="72" spans="1:10" ht="15.75" customHeight="1">
      <c r="A72" s="20">
        <v>46191</v>
      </c>
      <c r="B72" s="21"/>
      <c r="C72" s="29" t="s">
        <v>23</v>
      </c>
      <c r="D72" s="9">
        <v>0.5</v>
      </c>
      <c r="E72" s="35">
        <v>50</v>
      </c>
      <c r="F72" s="23">
        <f t="shared" si="0"/>
        <v>25</v>
      </c>
      <c r="G72" s="9" t="s">
        <v>17</v>
      </c>
      <c r="H72" s="19"/>
      <c r="I72" s="24">
        <f t="shared" si="1"/>
        <v>25</v>
      </c>
      <c r="J72" s="19"/>
    </row>
    <row r="73" spans="1:10" ht="15.75" customHeight="1">
      <c r="A73" s="20">
        <v>46192</v>
      </c>
      <c r="B73" s="21"/>
      <c r="C73" s="25" t="s">
        <v>16</v>
      </c>
      <c r="D73" s="9">
        <v>3</v>
      </c>
      <c r="E73" s="35">
        <v>25</v>
      </c>
      <c r="F73" s="23">
        <f t="shared" si="0"/>
        <v>75</v>
      </c>
      <c r="G73" s="9" t="s">
        <v>17</v>
      </c>
      <c r="H73" s="19"/>
      <c r="I73" s="24">
        <f t="shared" si="1"/>
        <v>75</v>
      </c>
      <c r="J73" s="19" t="s">
        <v>53</v>
      </c>
    </row>
    <row r="74" spans="1:10" ht="15.75" customHeight="1">
      <c r="A74" s="20">
        <v>46193</v>
      </c>
      <c r="B74" s="21"/>
      <c r="C74" s="29" t="s">
        <v>23</v>
      </c>
      <c r="D74" s="9">
        <v>1</v>
      </c>
      <c r="E74" s="35">
        <v>49.9</v>
      </c>
      <c r="F74" s="23">
        <f t="shared" si="0"/>
        <v>49.9</v>
      </c>
      <c r="G74" s="9"/>
      <c r="H74" s="19"/>
      <c r="I74" s="24">
        <f t="shared" si="1"/>
        <v>49.9</v>
      </c>
      <c r="J74" s="19"/>
    </row>
    <row r="75" spans="1:10" ht="15.75" customHeight="1">
      <c r="A75" s="20">
        <v>46193</v>
      </c>
      <c r="B75" s="21" t="s">
        <v>50</v>
      </c>
      <c r="C75" s="22" t="s">
        <v>48</v>
      </c>
      <c r="D75" s="9">
        <v>2</v>
      </c>
      <c r="E75" s="35">
        <v>70</v>
      </c>
      <c r="F75" s="23">
        <f t="shared" si="0"/>
        <v>140</v>
      </c>
      <c r="G75" s="9" t="s">
        <v>19</v>
      </c>
      <c r="H75" s="19"/>
      <c r="I75" s="24">
        <f t="shared" si="1"/>
        <v>140</v>
      </c>
      <c r="J75" s="19"/>
    </row>
    <row r="76" spans="1:10" ht="15.75" customHeight="1">
      <c r="A76" s="20">
        <v>46163</v>
      </c>
      <c r="B76" s="21" t="s">
        <v>50</v>
      </c>
      <c r="C76" s="29" t="s">
        <v>23</v>
      </c>
      <c r="D76" s="9">
        <v>1</v>
      </c>
      <c r="E76" s="35">
        <v>49.9</v>
      </c>
      <c r="F76" s="23">
        <f t="shared" si="0"/>
        <v>49.9</v>
      </c>
      <c r="G76" s="19"/>
      <c r="H76" s="19"/>
      <c r="I76" s="24">
        <f t="shared" si="1"/>
        <v>49.9</v>
      </c>
      <c r="J76" s="19"/>
    </row>
    <row r="77" spans="1:10" ht="15.75" customHeight="1">
      <c r="A77" s="20">
        <v>46194</v>
      </c>
      <c r="B77" s="19"/>
      <c r="C77" s="25" t="s">
        <v>16</v>
      </c>
      <c r="D77" s="9">
        <v>1</v>
      </c>
      <c r="E77" s="35">
        <v>29.9</v>
      </c>
      <c r="F77" s="23">
        <f t="shared" si="0"/>
        <v>29.9</v>
      </c>
      <c r="G77" s="19"/>
      <c r="H77" s="19"/>
      <c r="I77" s="24">
        <f t="shared" si="1"/>
        <v>29.9</v>
      </c>
      <c r="J77" s="19"/>
    </row>
    <row r="78" spans="1:10" ht="15.75" customHeight="1">
      <c r="A78" s="20">
        <v>46194</v>
      </c>
      <c r="B78" s="9" t="s">
        <v>50</v>
      </c>
      <c r="C78" s="22" t="s">
        <v>48</v>
      </c>
      <c r="D78" s="9">
        <v>2</v>
      </c>
      <c r="E78" s="35">
        <v>70</v>
      </c>
      <c r="F78" s="23">
        <f t="shared" si="0"/>
        <v>140</v>
      </c>
      <c r="G78" s="9" t="s">
        <v>31</v>
      </c>
      <c r="H78" s="19"/>
      <c r="I78" s="24">
        <f t="shared" si="1"/>
        <v>140</v>
      </c>
      <c r="J78" s="19" t="s">
        <v>53</v>
      </c>
    </row>
    <row r="79" spans="1:10" ht="15.75" customHeight="1">
      <c r="A79" s="19"/>
      <c r="B79" s="21" t="s">
        <v>54</v>
      </c>
      <c r="C79" s="22" t="s">
        <v>48</v>
      </c>
      <c r="D79" s="9">
        <v>1</v>
      </c>
      <c r="E79" s="37"/>
      <c r="F79" s="23">
        <f t="shared" si="0"/>
        <v>0</v>
      </c>
      <c r="G79" s="19"/>
      <c r="H79" s="19"/>
      <c r="I79" s="24">
        <f t="shared" si="1"/>
        <v>0</v>
      </c>
      <c r="J79" s="19" t="s">
        <v>55</v>
      </c>
    </row>
    <row r="80" spans="1:10" ht="15.75" customHeight="1">
      <c r="A80" s="19"/>
      <c r="B80" s="21" t="s">
        <v>56</v>
      </c>
      <c r="C80" s="29" t="s">
        <v>23</v>
      </c>
      <c r="D80" s="9">
        <v>2</v>
      </c>
      <c r="E80" s="19"/>
      <c r="F80" s="23">
        <f t="shared" si="0"/>
        <v>0</v>
      </c>
      <c r="G80" s="19"/>
      <c r="H80" s="19"/>
      <c r="I80" s="24">
        <f t="shared" si="1"/>
        <v>0</v>
      </c>
      <c r="J80" s="19" t="s">
        <v>55</v>
      </c>
    </row>
    <row r="81" spans="1:10" ht="15.75" customHeight="1">
      <c r="A81" s="20">
        <v>46193</v>
      </c>
      <c r="B81" s="21" t="s">
        <v>57</v>
      </c>
      <c r="C81" s="25" t="s">
        <v>16</v>
      </c>
      <c r="D81" s="9">
        <v>1</v>
      </c>
      <c r="E81" s="35">
        <v>29.9</v>
      </c>
      <c r="F81" s="23">
        <f t="shared" si="0"/>
        <v>29.9</v>
      </c>
      <c r="G81" s="9" t="s">
        <v>17</v>
      </c>
      <c r="H81" s="19"/>
      <c r="I81" s="24">
        <f t="shared" si="1"/>
        <v>29.9</v>
      </c>
      <c r="J81" s="19"/>
    </row>
    <row r="82" spans="1:10" ht="15.75" customHeight="1">
      <c r="A82" s="20">
        <v>46193</v>
      </c>
      <c r="B82" s="21" t="s">
        <v>58</v>
      </c>
      <c r="C82" s="25" t="s">
        <v>16</v>
      </c>
      <c r="D82" s="9">
        <v>1</v>
      </c>
      <c r="E82" s="35">
        <v>29.9</v>
      </c>
      <c r="F82" s="23">
        <f t="shared" si="0"/>
        <v>29.9</v>
      </c>
      <c r="G82" s="19"/>
      <c r="H82" s="19"/>
      <c r="I82" s="24">
        <f t="shared" si="1"/>
        <v>29.9</v>
      </c>
      <c r="J82" s="19"/>
    </row>
    <row r="83" spans="1:10" ht="15.75" customHeight="1">
      <c r="A83" s="20">
        <v>46194</v>
      </c>
      <c r="B83" s="9" t="s">
        <v>50</v>
      </c>
      <c r="C83" s="22" t="s">
        <v>48</v>
      </c>
      <c r="D83" s="9">
        <v>2</v>
      </c>
      <c r="E83" s="35">
        <v>70</v>
      </c>
      <c r="F83" s="23">
        <f t="shared" si="0"/>
        <v>140</v>
      </c>
      <c r="G83" s="9" t="s">
        <v>19</v>
      </c>
      <c r="H83" s="19"/>
      <c r="I83" s="24">
        <f t="shared" si="1"/>
        <v>140</v>
      </c>
      <c r="J83" s="19"/>
    </row>
    <row r="84" spans="1:10" ht="15.75" customHeight="1">
      <c r="A84" s="20">
        <v>46197</v>
      </c>
      <c r="B84" s="21" t="s">
        <v>59</v>
      </c>
      <c r="C84" s="25" t="s">
        <v>16</v>
      </c>
      <c r="D84" s="9">
        <v>1</v>
      </c>
      <c r="E84" s="35">
        <v>29.9</v>
      </c>
      <c r="F84" s="23">
        <f t="shared" si="0"/>
        <v>29.9</v>
      </c>
      <c r="G84" s="167" t="s">
        <v>19</v>
      </c>
      <c r="H84" s="19"/>
      <c r="I84" s="24">
        <f t="shared" si="1"/>
        <v>29.9</v>
      </c>
      <c r="J84" s="19"/>
    </row>
    <row r="85" spans="1:10" ht="15.75" customHeight="1">
      <c r="A85" s="20">
        <v>46197</v>
      </c>
      <c r="B85" s="21" t="s">
        <v>33</v>
      </c>
      <c r="C85" s="25" t="s">
        <v>16</v>
      </c>
      <c r="D85" s="9">
        <v>2</v>
      </c>
      <c r="E85" s="35">
        <v>29.9</v>
      </c>
      <c r="F85" s="23">
        <f t="shared" si="0"/>
        <v>59.8</v>
      </c>
      <c r="G85" s="151"/>
      <c r="H85" s="19"/>
      <c r="I85" s="24">
        <f t="shared" si="1"/>
        <v>59.8</v>
      </c>
      <c r="J85" s="19"/>
    </row>
    <row r="86" spans="1:10" ht="15.75" customHeight="1">
      <c r="A86" s="20">
        <v>46196</v>
      </c>
      <c r="B86" s="21" t="s">
        <v>60</v>
      </c>
      <c r="C86" s="25" t="s">
        <v>26</v>
      </c>
      <c r="D86" s="9">
        <v>0.5</v>
      </c>
      <c r="E86" s="35">
        <v>120.75</v>
      </c>
      <c r="F86" s="23">
        <f t="shared" si="0"/>
        <v>60.375</v>
      </c>
      <c r="G86" s="9" t="s">
        <v>19</v>
      </c>
      <c r="H86" s="19"/>
      <c r="I86" s="24">
        <f t="shared" si="1"/>
        <v>60.375</v>
      </c>
      <c r="J86" s="19"/>
    </row>
    <row r="87" spans="1:10" ht="15.75" customHeight="1">
      <c r="A87" s="178">
        <v>46198</v>
      </c>
      <c r="B87" s="167" t="s">
        <v>61</v>
      </c>
      <c r="C87" s="25" t="s">
        <v>16</v>
      </c>
      <c r="D87" s="9">
        <v>1</v>
      </c>
      <c r="E87" s="35">
        <v>29.9</v>
      </c>
      <c r="F87" s="23">
        <f t="shared" si="0"/>
        <v>29.9</v>
      </c>
      <c r="G87" s="167" t="s">
        <v>62</v>
      </c>
      <c r="H87" s="19"/>
      <c r="I87" s="24">
        <f t="shared" si="1"/>
        <v>29.9</v>
      </c>
      <c r="J87" s="19"/>
    </row>
    <row r="88" spans="1:10" ht="15.75" customHeight="1">
      <c r="A88" s="151"/>
      <c r="B88" s="151"/>
      <c r="C88" s="29" t="s">
        <v>23</v>
      </c>
      <c r="D88" s="9">
        <v>1.1000000000000001</v>
      </c>
      <c r="E88" s="35">
        <v>50</v>
      </c>
      <c r="F88" s="23">
        <f t="shared" si="0"/>
        <v>55.000000000000007</v>
      </c>
      <c r="G88" s="151"/>
      <c r="H88" s="19"/>
      <c r="I88" s="24">
        <f t="shared" si="1"/>
        <v>55.000000000000007</v>
      </c>
      <c r="J88" s="19"/>
    </row>
    <row r="89" spans="1:10" ht="15.75" customHeight="1">
      <c r="A89" s="38">
        <v>46198</v>
      </c>
      <c r="B89" s="9" t="s">
        <v>50</v>
      </c>
      <c r="C89" s="22" t="s">
        <v>48</v>
      </c>
      <c r="D89" s="9">
        <v>2</v>
      </c>
      <c r="E89" s="35">
        <v>70</v>
      </c>
      <c r="F89" s="23">
        <f t="shared" si="0"/>
        <v>140</v>
      </c>
      <c r="G89" s="19"/>
      <c r="H89" s="19"/>
      <c r="I89" s="24">
        <f t="shared" si="1"/>
        <v>140</v>
      </c>
      <c r="J89" s="19"/>
    </row>
    <row r="90" spans="1:10" ht="15.75" customHeight="1">
      <c r="A90" s="38">
        <v>46199</v>
      </c>
      <c r="B90" s="21" t="s">
        <v>63</v>
      </c>
      <c r="C90" s="25" t="s">
        <v>16</v>
      </c>
      <c r="D90" s="9">
        <v>4</v>
      </c>
      <c r="E90" s="35">
        <v>25</v>
      </c>
      <c r="F90" s="23">
        <f t="shared" si="0"/>
        <v>100</v>
      </c>
      <c r="G90" s="19"/>
      <c r="H90" s="19"/>
      <c r="I90" s="24">
        <f t="shared" si="1"/>
        <v>100</v>
      </c>
      <c r="J90" s="19" t="s">
        <v>53</v>
      </c>
    </row>
    <row r="91" spans="1:10" ht="15.75" customHeight="1">
      <c r="A91" s="38">
        <v>46199</v>
      </c>
      <c r="B91" s="21" t="s">
        <v>64</v>
      </c>
      <c r="C91" s="29" t="s">
        <v>23</v>
      </c>
      <c r="D91" s="9">
        <v>2</v>
      </c>
      <c r="E91" s="35">
        <v>49.9</v>
      </c>
      <c r="F91" s="23">
        <f t="shared" si="0"/>
        <v>99.8</v>
      </c>
      <c r="G91" s="19"/>
      <c r="H91" s="19"/>
      <c r="I91" s="24">
        <f t="shared" si="1"/>
        <v>99.8</v>
      </c>
      <c r="J91" s="19"/>
    </row>
    <row r="92" spans="1:10" ht="15.75" customHeight="1">
      <c r="A92" s="20">
        <v>46200</v>
      </c>
      <c r="B92" s="21" t="s">
        <v>65</v>
      </c>
      <c r="C92" s="25" t="s">
        <v>16</v>
      </c>
      <c r="D92" s="9">
        <v>1</v>
      </c>
      <c r="E92" s="35">
        <v>29.9</v>
      </c>
      <c r="F92" s="23">
        <f t="shared" si="0"/>
        <v>29.9</v>
      </c>
      <c r="G92" s="9" t="s">
        <v>19</v>
      </c>
      <c r="H92" s="19"/>
      <c r="I92" s="24">
        <f t="shared" si="1"/>
        <v>29.9</v>
      </c>
      <c r="J92" s="19"/>
    </row>
    <row r="93" spans="1:10" ht="15.75" customHeight="1">
      <c r="A93" s="20">
        <v>46200</v>
      </c>
      <c r="B93" s="21" t="s">
        <v>66</v>
      </c>
      <c r="C93" s="25" t="s">
        <v>16</v>
      </c>
      <c r="D93" s="9">
        <v>2</v>
      </c>
      <c r="E93" s="35">
        <v>25</v>
      </c>
      <c r="F93" s="23">
        <f t="shared" si="0"/>
        <v>50</v>
      </c>
      <c r="G93" s="9" t="s">
        <v>17</v>
      </c>
      <c r="H93" s="19"/>
      <c r="I93" s="24">
        <f t="shared" si="1"/>
        <v>50</v>
      </c>
      <c r="J93" s="19"/>
    </row>
    <row r="94" spans="1:10" ht="15.75" customHeight="1">
      <c r="A94" s="20">
        <v>46201</v>
      </c>
      <c r="B94" s="21" t="s">
        <v>50</v>
      </c>
      <c r="C94" s="22" t="s">
        <v>48</v>
      </c>
      <c r="D94" s="9">
        <v>2</v>
      </c>
      <c r="E94" s="35">
        <v>70</v>
      </c>
      <c r="F94" s="23">
        <f t="shared" si="0"/>
        <v>140</v>
      </c>
      <c r="G94" s="9" t="s">
        <v>17</v>
      </c>
      <c r="H94" s="19"/>
      <c r="I94" s="24">
        <f t="shared" si="1"/>
        <v>140</v>
      </c>
      <c r="J94" s="19" t="s">
        <v>53</v>
      </c>
    </row>
    <row r="95" spans="1:10" ht="15.75" customHeight="1">
      <c r="A95" s="20">
        <v>46202</v>
      </c>
      <c r="B95" s="21" t="s">
        <v>67</v>
      </c>
      <c r="C95" s="29" t="s">
        <v>23</v>
      </c>
      <c r="D95" s="9">
        <v>3</v>
      </c>
      <c r="E95" s="35">
        <v>50</v>
      </c>
      <c r="F95" s="23">
        <f t="shared" si="0"/>
        <v>150</v>
      </c>
      <c r="G95" s="9" t="s">
        <v>62</v>
      </c>
      <c r="H95" s="19"/>
      <c r="I95" s="24">
        <f t="shared" si="1"/>
        <v>150</v>
      </c>
      <c r="J95" s="19"/>
    </row>
    <row r="96" spans="1:10" ht="15.75" customHeight="1">
      <c r="A96" s="20">
        <v>46202</v>
      </c>
      <c r="B96" s="19"/>
      <c r="C96" s="29" t="s">
        <v>23</v>
      </c>
      <c r="D96" s="9">
        <v>1</v>
      </c>
      <c r="E96" s="35">
        <v>50</v>
      </c>
      <c r="F96" s="23">
        <f t="shared" si="0"/>
        <v>50</v>
      </c>
      <c r="G96" s="9" t="s">
        <v>19</v>
      </c>
      <c r="H96" s="19"/>
      <c r="I96" s="24">
        <f t="shared" si="1"/>
        <v>50</v>
      </c>
      <c r="J96" s="19"/>
    </row>
    <row r="97" spans="1:10" ht="15.75" customHeight="1">
      <c r="A97" s="20">
        <v>46203</v>
      </c>
      <c r="B97" s="21" t="s">
        <v>50</v>
      </c>
      <c r="C97" s="22" t="s">
        <v>48</v>
      </c>
      <c r="D97" s="9">
        <v>4</v>
      </c>
      <c r="E97" s="35">
        <v>70</v>
      </c>
      <c r="F97" s="23">
        <f t="shared" si="0"/>
        <v>280</v>
      </c>
      <c r="G97" s="9" t="s">
        <v>19</v>
      </c>
      <c r="H97" s="19"/>
      <c r="I97" s="24">
        <f t="shared" si="1"/>
        <v>280</v>
      </c>
      <c r="J97" s="19" t="s">
        <v>53</v>
      </c>
    </row>
    <row r="98" spans="1:10" ht="15.75" customHeight="1">
      <c r="A98" s="39">
        <v>46204</v>
      </c>
      <c r="B98" s="40" t="s">
        <v>68</v>
      </c>
      <c r="C98" s="41" t="s">
        <v>16</v>
      </c>
      <c r="D98" s="42">
        <v>1</v>
      </c>
      <c r="E98" s="43">
        <v>29.9</v>
      </c>
      <c r="F98" s="44">
        <f t="shared" si="0"/>
        <v>29.9</v>
      </c>
      <c r="G98" s="42" t="s">
        <v>19</v>
      </c>
      <c r="H98" s="45"/>
      <c r="I98" s="46">
        <f t="shared" si="1"/>
        <v>29.9</v>
      </c>
      <c r="J98" s="45"/>
    </row>
    <row r="99" spans="1:10" ht="15.75" customHeight="1">
      <c r="A99" s="39">
        <v>46204</v>
      </c>
      <c r="B99" s="40" t="s">
        <v>69</v>
      </c>
      <c r="C99" s="42" t="s">
        <v>70</v>
      </c>
      <c r="D99" s="42">
        <v>1.1000000000000001</v>
      </c>
      <c r="E99" s="43">
        <v>27.18</v>
      </c>
      <c r="F99" s="44">
        <f t="shared" si="0"/>
        <v>29.898000000000003</v>
      </c>
      <c r="G99" s="42" t="s">
        <v>19</v>
      </c>
      <c r="H99" s="45"/>
      <c r="I99" s="46">
        <f t="shared" si="1"/>
        <v>29.898000000000003</v>
      </c>
      <c r="J99" s="45"/>
    </row>
    <row r="100" spans="1:10" ht="15.75" customHeight="1">
      <c r="A100" s="39">
        <v>46204</v>
      </c>
      <c r="B100" s="40" t="s">
        <v>71</v>
      </c>
      <c r="C100" s="41" t="s">
        <v>16</v>
      </c>
      <c r="D100" s="42">
        <v>1</v>
      </c>
      <c r="E100" s="43">
        <v>29.9</v>
      </c>
      <c r="F100" s="44">
        <f t="shared" si="0"/>
        <v>29.9</v>
      </c>
      <c r="G100" s="42" t="s">
        <v>19</v>
      </c>
      <c r="H100" s="45"/>
      <c r="I100" s="46">
        <f t="shared" si="1"/>
        <v>29.9</v>
      </c>
      <c r="J100" s="45"/>
    </row>
    <row r="101" spans="1:10" ht="15.75" customHeight="1">
      <c r="A101" s="39">
        <v>46204</v>
      </c>
      <c r="B101" s="40" t="s">
        <v>72</v>
      </c>
      <c r="C101" s="47" t="s">
        <v>27</v>
      </c>
      <c r="D101" s="42">
        <v>1</v>
      </c>
      <c r="E101" s="43">
        <v>64.900000000000006</v>
      </c>
      <c r="F101" s="44">
        <f t="shared" si="0"/>
        <v>64.900000000000006</v>
      </c>
      <c r="G101" s="42" t="s">
        <v>19</v>
      </c>
      <c r="H101" s="45"/>
      <c r="I101" s="46">
        <f t="shared" si="1"/>
        <v>64.900000000000006</v>
      </c>
      <c r="J101" s="45"/>
    </row>
    <row r="102" spans="1:10" ht="15.75" customHeight="1">
      <c r="A102" s="39">
        <v>46206</v>
      </c>
      <c r="B102" s="45"/>
      <c r="C102" s="41" t="s">
        <v>16</v>
      </c>
      <c r="D102" s="42">
        <v>4</v>
      </c>
      <c r="E102" s="43">
        <v>25</v>
      </c>
      <c r="F102" s="44">
        <f t="shared" si="0"/>
        <v>100</v>
      </c>
      <c r="G102" s="42" t="s">
        <v>19</v>
      </c>
      <c r="H102" s="45"/>
      <c r="I102" s="46">
        <f t="shared" si="1"/>
        <v>100</v>
      </c>
      <c r="J102" s="45" t="s">
        <v>53</v>
      </c>
    </row>
    <row r="103" spans="1:10" ht="15.75" customHeight="1">
      <c r="A103" s="39">
        <v>46206</v>
      </c>
      <c r="B103" s="40" t="s">
        <v>73</v>
      </c>
      <c r="C103" s="41" t="s">
        <v>16</v>
      </c>
      <c r="D103" s="42">
        <v>1</v>
      </c>
      <c r="E103" s="43">
        <v>25</v>
      </c>
      <c r="F103" s="44">
        <f t="shared" si="0"/>
        <v>25</v>
      </c>
      <c r="G103" s="42" t="s">
        <v>19</v>
      </c>
      <c r="H103" s="45"/>
      <c r="I103" s="46">
        <f t="shared" si="1"/>
        <v>25</v>
      </c>
      <c r="J103" s="45" t="s">
        <v>53</v>
      </c>
    </row>
    <row r="104" spans="1:10" ht="15.75" customHeight="1">
      <c r="A104" s="39">
        <v>46206</v>
      </c>
      <c r="B104" s="45"/>
      <c r="C104" s="41" t="s">
        <v>16</v>
      </c>
      <c r="D104" s="42">
        <v>2</v>
      </c>
      <c r="E104" s="46">
        <v>30</v>
      </c>
      <c r="F104" s="44">
        <f t="shared" si="0"/>
        <v>60</v>
      </c>
      <c r="G104" s="42" t="s">
        <v>17</v>
      </c>
      <c r="H104" s="45"/>
      <c r="I104" s="46">
        <f t="shared" si="1"/>
        <v>60</v>
      </c>
      <c r="J104" s="45"/>
    </row>
    <row r="105" spans="1:10" ht="15.75" customHeight="1">
      <c r="A105" s="39">
        <v>46206</v>
      </c>
      <c r="B105" s="45"/>
      <c r="C105" s="41" t="s">
        <v>16</v>
      </c>
      <c r="D105" s="42">
        <v>1.5</v>
      </c>
      <c r="E105" s="46">
        <v>33.340000000000003</v>
      </c>
      <c r="F105" s="46">
        <f t="shared" si="0"/>
        <v>50.010000000000005</v>
      </c>
      <c r="G105" s="42" t="s">
        <v>19</v>
      </c>
      <c r="H105" s="45"/>
      <c r="I105" s="46">
        <f t="shared" si="1"/>
        <v>50.010000000000005</v>
      </c>
      <c r="J105" s="45"/>
    </row>
    <row r="106" spans="1:10" ht="15.75" customHeight="1">
      <c r="A106" s="39">
        <v>46206</v>
      </c>
      <c r="B106" s="45"/>
      <c r="C106" s="41" t="s">
        <v>16</v>
      </c>
      <c r="D106" s="42">
        <v>1</v>
      </c>
      <c r="E106" s="46">
        <v>29.9</v>
      </c>
      <c r="F106" s="44">
        <f t="shared" si="0"/>
        <v>29.9</v>
      </c>
      <c r="G106" s="42" t="s">
        <v>17</v>
      </c>
      <c r="H106" s="45"/>
      <c r="I106" s="46">
        <f t="shared" si="1"/>
        <v>29.9</v>
      </c>
      <c r="J106" s="45"/>
    </row>
    <row r="107" spans="1:10" ht="15.75" customHeight="1">
      <c r="A107" s="48">
        <v>46207</v>
      </c>
      <c r="B107" s="45"/>
      <c r="C107" s="49" t="s">
        <v>23</v>
      </c>
      <c r="D107" s="42">
        <v>1</v>
      </c>
      <c r="E107" s="46">
        <v>49.9</v>
      </c>
      <c r="F107" s="44">
        <f t="shared" si="0"/>
        <v>49.9</v>
      </c>
      <c r="G107" s="42" t="s">
        <v>19</v>
      </c>
      <c r="H107" s="45"/>
      <c r="I107" s="46">
        <f t="shared" si="1"/>
        <v>49.9</v>
      </c>
      <c r="J107" s="45"/>
    </row>
    <row r="108" spans="1:10" ht="15.75" customHeight="1">
      <c r="A108" s="48">
        <v>46207</v>
      </c>
      <c r="B108" s="42" t="s">
        <v>64</v>
      </c>
      <c r="C108" s="49" t="s">
        <v>23</v>
      </c>
      <c r="D108" s="42">
        <v>2.1</v>
      </c>
      <c r="E108" s="46">
        <v>49.9</v>
      </c>
      <c r="F108" s="44">
        <f t="shared" si="0"/>
        <v>104.79</v>
      </c>
      <c r="G108" s="42" t="s">
        <v>19</v>
      </c>
      <c r="H108" s="45"/>
      <c r="I108" s="46">
        <f t="shared" si="1"/>
        <v>104.79</v>
      </c>
      <c r="J108" s="45"/>
    </row>
    <row r="109" spans="1:10" ht="15.75" customHeight="1">
      <c r="A109" s="48">
        <v>46207</v>
      </c>
      <c r="B109" s="42" t="s">
        <v>50</v>
      </c>
      <c r="C109" s="47" t="s">
        <v>48</v>
      </c>
      <c r="D109" s="42">
        <v>2</v>
      </c>
      <c r="E109" s="46">
        <v>70</v>
      </c>
      <c r="F109" s="44">
        <f t="shared" si="0"/>
        <v>140</v>
      </c>
      <c r="G109" s="42" t="s">
        <v>17</v>
      </c>
      <c r="H109" s="45"/>
      <c r="I109" s="46">
        <f t="shared" si="1"/>
        <v>140</v>
      </c>
      <c r="J109" s="45" t="s">
        <v>53</v>
      </c>
    </row>
    <row r="110" spans="1:10" ht="15.75" customHeight="1">
      <c r="A110" s="39">
        <v>46208</v>
      </c>
      <c r="B110" s="42" t="s">
        <v>57</v>
      </c>
      <c r="C110" s="41" t="s">
        <v>16</v>
      </c>
      <c r="D110" s="42">
        <v>2</v>
      </c>
      <c r="E110" s="46">
        <v>29.9</v>
      </c>
      <c r="F110" s="44">
        <f t="shared" si="0"/>
        <v>59.8</v>
      </c>
      <c r="G110" s="42"/>
      <c r="H110" s="45"/>
      <c r="I110" s="46">
        <f t="shared" si="1"/>
        <v>59.8</v>
      </c>
      <c r="J110" s="45"/>
    </row>
    <row r="111" spans="1:10" ht="15.75" customHeight="1">
      <c r="A111" s="39">
        <v>46208</v>
      </c>
      <c r="B111" s="42" t="s">
        <v>74</v>
      </c>
      <c r="C111" s="41" t="s">
        <v>16</v>
      </c>
      <c r="D111" s="40">
        <v>1</v>
      </c>
      <c r="E111" s="46">
        <v>29.9</v>
      </c>
      <c r="F111" s="46">
        <f t="shared" si="0"/>
        <v>29.9</v>
      </c>
      <c r="G111" s="42"/>
      <c r="H111" s="45"/>
      <c r="I111" s="46">
        <f t="shared" si="1"/>
        <v>29.9</v>
      </c>
      <c r="J111" s="45"/>
    </row>
    <row r="112" spans="1:10" ht="15.75" customHeight="1">
      <c r="A112" s="39">
        <v>46208</v>
      </c>
      <c r="B112" s="45"/>
      <c r="C112" s="41" t="s">
        <v>16</v>
      </c>
      <c r="D112" s="40">
        <v>1</v>
      </c>
      <c r="E112" s="46">
        <v>29.9</v>
      </c>
      <c r="F112" s="46">
        <f t="shared" si="0"/>
        <v>29.9</v>
      </c>
      <c r="G112" s="42"/>
      <c r="H112" s="45"/>
      <c r="I112" s="46">
        <f t="shared" si="1"/>
        <v>29.9</v>
      </c>
      <c r="J112" s="45"/>
    </row>
    <row r="113" spans="1:16" ht="15.75" customHeight="1">
      <c r="A113" s="39">
        <v>46209</v>
      </c>
      <c r="B113" s="45"/>
      <c r="C113" s="47" t="s">
        <v>48</v>
      </c>
      <c r="D113" s="42">
        <v>2</v>
      </c>
      <c r="E113" s="46">
        <v>79.900000000000006</v>
      </c>
      <c r="F113" s="46">
        <f t="shared" si="0"/>
        <v>159.80000000000001</v>
      </c>
      <c r="G113" s="42" t="s">
        <v>19</v>
      </c>
      <c r="H113" s="45"/>
      <c r="I113" s="46">
        <f t="shared" si="1"/>
        <v>159.80000000000001</v>
      </c>
      <c r="J113" s="45"/>
    </row>
    <row r="114" spans="1:16" ht="15.75" customHeight="1">
      <c r="A114" s="39">
        <v>46209</v>
      </c>
      <c r="B114" s="45"/>
      <c r="C114" s="41" t="s">
        <v>16</v>
      </c>
      <c r="D114" s="42">
        <v>1</v>
      </c>
      <c r="E114" s="46">
        <v>29.9</v>
      </c>
      <c r="F114" s="46">
        <f t="shared" si="0"/>
        <v>29.9</v>
      </c>
      <c r="G114" s="42" t="s">
        <v>19</v>
      </c>
      <c r="H114" s="45"/>
      <c r="I114" s="46">
        <f t="shared" si="1"/>
        <v>29.9</v>
      </c>
      <c r="J114" s="45"/>
    </row>
    <row r="115" spans="1:16" ht="15.75" customHeight="1">
      <c r="A115" s="39">
        <v>46209</v>
      </c>
      <c r="B115" s="42" t="s">
        <v>50</v>
      </c>
      <c r="C115" s="47" t="s">
        <v>48</v>
      </c>
      <c r="D115" s="42">
        <v>2</v>
      </c>
      <c r="E115" s="46">
        <v>70</v>
      </c>
      <c r="F115" s="46">
        <f t="shared" si="0"/>
        <v>140</v>
      </c>
      <c r="G115" s="42"/>
      <c r="H115" s="45"/>
      <c r="I115" s="46">
        <f t="shared" si="1"/>
        <v>140</v>
      </c>
      <c r="J115" s="45"/>
    </row>
    <row r="116" spans="1:16" ht="15.75" customHeight="1">
      <c r="A116" s="39">
        <v>46180</v>
      </c>
      <c r="B116" s="42" t="s">
        <v>75</v>
      </c>
      <c r="C116" s="41" t="s">
        <v>16</v>
      </c>
      <c r="D116" s="42">
        <v>1.5</v>
      </c>
      <c r="E116" s="46">
        <v>29.9</v>
      </c>
      <c r="F116" s="46">
        <f t="shared" si="0"/>
        <v>44.849999999999994</v>
      </c>
      <c r="G116" s="42" t="s">
        <v>19</v>
      </c>
      <c r="H116" s="45"/>
      <c r="I116" s="46">
        <f t="shared" si="1"/>
        <v>44.849999999999994</v>
      </c>
      <c r="J116" s="45" t="s">
        <v>53</v>
      </c>
    </row>
    <row r="117" spans="1:16" ht="15.75" customHeight="1">
      <c r="A117" s="39">
        <v>46181</v>
      </c>
      <c r="B117" s="42" t="s">
        <v>33</v>
      </c>
      <c r="C117" s="41" t="s">
        <v>16</v>
      </c>
      <c r="D117" s="42">
        <v>1</v>
      </c>
      <c r="E117" s="46">
        <v>29.9</v>
      </c>
      <c r="F117" s="46">
        <f t="shared" si="0"/>
        <v>29.9</v>
      </c>
      <c r="G117" s="42" t="s">
        <v>19</v>
      </c>
      <c r="H117" s="45"/>
      <c r="I117" s="46">
        <f t="shared" si="1"/>
        <v>29.9</v>
      </c>
      <c r="J117" s="45"/>
    </row>
    <row r="118" spans="1:16" ht="15.75" customHeight="1">
      <c r="A118" s="39">
        <v>46212</v>
      </c>
      <c r="B118" s="42"/>
      <c r="C118" s="49" t="s">
        <v>23</v>
      </c>
      <c r="D118" s="42">
        <v>3</v>
      </c>
      <c r="E118" s="46">
        <v>49.9</v>
      </c>
      <c r="F118" s="46">
        <f t="shared" si="0"/>
        <v>149.69999999999999</v>
      </c>
      <c r="G118" s="42"/>
      <c r="H118" s="45"/>
      <c r="I118" s="46">
        <f t="shared" si="1"/>
        <v>149.69999999999999</v>
      </c>
      <c r="J118" s="45"/>
    </row>
    <row r="119" spans="1:16" ht="15.75" customHeight="1">
      <c r="A119" s="39">
        <v>46212</v>
      </c>
      <c r="B119" s="42"/>
      <c r="C119" s="41" t="s">
        <v>26</v>
      </c>
      <c r="D119" s="42">
        <v>2</v>
      </c>
      <c r="E119" s="46">
        <v>119.9</v>
      </c>
      <c r="F119" s="46">
        <f t="shared" si="0"/>
        <v>239.8</v>
      </c>
      <c r="G119" s="42" t="s">
        <v>76</v>
      </c>
      <c r="H119" s="45"/>
      <c r="I119" s="46">
        <f t="shared" si="1"/>
        <v>239.8</v>
      </c>
      <c r="J119" s="45"/>
    </row>
    <row r="120" spans="1:16" ht="15.75" customHeight="1">
      <c r="A120" s="39">
        <v>46214</v>
      </c>
      <c r="B120" s="42"/>
      <c r="C120" s="41" t="s">
        <v>16</v>
      </c>
      <c r="D120" s="42">
        <v>4</v>
      </c>
      <c r="E120" s="46">
        <v>25</v>
      </c>
      <c r="F120" s="46">
        <f t="shared" si="0"/>
        <v>100</v>
      </c>
      <c r="G120" s="42" t="s">
        <v>17</v>
      </c>
      <c r="H120" s="45"/>
      <c r="I120" s="46">
        <f t="shared" si="1"/>
        <v>100</v>
      </c>
      <c r="J120" s="45" t="s">
        <v>53</v>
      </c>
    </row>
    <row r="121" spans="1:16" ht="15.75" customHeight="1">
      <c r="A121" s="39">
        <v>46214</v>
      </c>
      <c r="B121" s="42"/>
      <c r="C121" s="49" t="s">
        <v>23</v>
      </c>
      <c r="D121" s="42">
        <v>1</v>
      </c>
      <c r="E121" s="46">
        <v>49.9</v>
      </c>
      <c r="F121" s="46">
        <f t="shared" si="0"/>
        <v>49.9</v>
      </c>
      <c r="G121" s="42" t="s">
        <v>77</v>
      </c>
      <c r="H121" s="45"/>
      <c r="I121" s="46">
        <f t="shared" si="1"/>
        <v>49.9</v>
      </c>
      <c r="J121" s="45"/>
    </row>
    <row r="122" spans="1:16" ht="15.75" customHeight="1">
      <c r="A122" s="39">
        <v>46214</v>
      </c>
      <c r="B122" s="42" t="s">
        <v>78</v>
      </c>
      <c r="C122" s="41" t="s">
        <v>16</v>
      </c>
      <c r="D122" s="42">
        <v>1</v>
      </c>
      <c r="E122" s="46">
        <v>29.9</v>
      </c>
      <c r="F122" s="46">
        <f t="shared" si="0"/>
        <v>29.9</v>
      </c>
      <c r="G122" s="42" t="s">
        <v>19</v>
      </c>
      <c r="H122" s="45"/>
      <c r="I122" s="46">
        <f t="shared" si="1"/>
        <v>29.9</v>
      </c>
      <c r="J122" s="45"/>
    </row>
    <row r="123" spans="1:16" ht="15.75" customHeight="1">
      <c r="A123" s="50">
        <v>46214</v>
      </c>
      <c r="B123" s="40" t="s">
        <v>79</v>
      </c>
      <c r="C123" s="41" t="s">
        <v>16</v>
      </c>
      <c r="D123" s="42">
        <v>1</v>
      </c>
      <c r="E123" s="46">
        <v>25</v>
      </c>
      <c r="F123" s="46">
        <f t="shared" si="0"/>
        <v>25</v>
      </c>
      <c r="G123" s="150" t="s">
        <v>19</v>
      </c>
      <c r="H123" s="45"/>
      <c r="I123" s="46">
        <f t="shared" si="1"/>
        <v>25</v>
      </c>
      <c r="J123" s="179" t="s">
        <v>80</v>
      </c>
    </row>
    <row r="124" spans="1:16" ht="15.75" customHeight="1">
      <c r="A124" s="50">
        <v>46214</v>
      </c>
      <c r="B124" s="40" t="s">
        <v>79</v>
      </c>
      <c r="C124" s="49" t="s">
        <v>23</v>
      </c>
      <c r="D124" s="42">
        <v>0.5</v>
      </c>
      <c r="E124" s="46">
        <v>50</v>
      </c>
      <c r="F124" s="46">
        <f t="shared" si="0"/>
        <v>25</v>
      </c>
      <c r="G124" s="151"/>
      <c r="H124" s="45"/>
      <c r="I124" s="46">
        <f t="shared" si="1"/>
        <v>25</v>
      </c>
      <c r="J124" s="151"/>
    </row>
    <row r="125" spans="1:16" ht="15.75" customHeight="1">
      <c r="A125" s="156">
        <v>46214</v>
      </c>
      <c r="B125" s="150" t="s">
        <v>81</v>
      </c>
      <c r="C125" s="41" t="s">
        <v>16</v>
      </c>
      <c r="D125" s="42">
        <v>1</v>
      </c>
      <c r="E125" s="46">
        <v>25</v>
      </c>
      <c r="F125" s="46">
        <f t="shared" si="0"/>
        <v>25</v>
      </c>
      <c r="G125" s="150" t="s">
        <v>17</v>
      </c>
      <c r="H125" s="45"/>
      <c r="I125" s="46">
        <f t="shared" si="1"/>
        <v>25</v>
      </c>
      <c r="J125" s="173" t="s">
        <v>80</v>
      </c>
    </row>
    <row r="126" spans="1:16" ht="15.75" customHeight="1">
      <c r="A126" s="151"/>
      <c r="B126" s="151"/>
      <c r="C126" s="49" t="s">
        <v>23</v>
      </c>
      <c r="D126" s="42">
        <v>0.5</v>
      </c>
      <c r="E126" s="46">
        <v>50</v>
      </c>
      <c r="F126" s="46">
        <f t="shared" si="0"/>
        <v>25</v>
      </c>
      <c r="G126" s="151"/>
      <c r="H126" s="45"/>
      <c r="I126" s="46">
        <f t="shared" si="1"/>
        <v>25</v>
      </c>
      <c r="J126" s="151"/>
    </row>
    <row r="127" spans="1:16" ht="15.75" customHeight="1">
      <c r="A127" s="156">
        <v>46214</v>
      </c>
      <c r="B127" s="150" t="s">
        <v>82</v>
      </c>
      <c r="C127" s="41" t="s">
        <v>16</v>
      </c>
      <c r="D127" s="42">
        <v>1</v>
      </c>
      <c r="E127" s="46">
        <v>25</v>
      </c>
      <c r="F127" s="46">
        <f t="shared" si="0"/>
        <v>25</v>
      </c>
      <c r="G127" s="150" t="s">
        <v>83</v>
      </c>
      <c r="H127" s="45"/>
      <c r="I127" s="46">
        <f t="shared" si="1"/>
        <v>25</v>
      </c>
      <c r="J127" s="173" t="s">
        <v>80</v>
      </c>
    </row>
    <row r="128" spans="1:16" ht="15.75" customHeight="1">
      <c r="A128" s="151"/>
      <c r="B128" s="151"/>
      <c r="C128" s="49" t="s">
        <v>23</v>
      </c>
      <c r="D128" s="42">
        <v>0.5</v>
      </c>
      <c r="E128" s="46">
        <v>50</v>
      </c>
      <c r="F128" s="46">
        <f t="shared" si="0"/>
        <v>25</v>
      </c>
      <c r="G128" s="151"/>
      <c r="H128" s="45"/>
      <c r="I128" s="46">
        <f t="shared" si="1"/>
        <v>25</v>
      </c>
      <c r="J128" s="157"/>
      <c r="P128" s="2"/>
    </row>
    <row r="129" spans="1:10" ht="15.75" customHeight="1">
      <c r="A129" s="156">
        <v>46215</v>
      </c>
      <c r="B129" s="150" t="s">
        <v>84</v>
      </c>
      <c r="C129" s="41" t="s">
        <v>16</v>
      </c>
      <c r="D129" s="42">
        <v>1</v>
      </c>
      <c r="E129" s="46">
        <v>25</v>
      </c>
      <c r="F129" s="46">
        <f t="shared" si="0"/>
        <v>25</v>
      </c>
      <c r="G129" s="40" t="s">
        <v>19</v>
      </c>
      <c r="H129" s="45"/>
      <c r="I129" s="46">
        <f t="shared" si="1"/>
        <v>25</v>
      </c>
      <c r="J129" s="157"/>
    </row>
    <row r="130" spans="1:10" ht="15.75" customHeight="1">
      <c r="A130" s="157"/>
      <c r="B130" s="151"/>
      <c r="C130" s="49" t="s">
        <v>23</v>
      </c>
      <c r="D130" s="42">
        <v>0.5</v>
      </c>
      <c r="E130" s="46">
        <v>50</v>
      </c>
      <c r="F130" s="46">
        <f t="shared" si="0"/>
        <v>25</v>
      </c>
      <c r="G130" s="40" t="s">
        <v>19</v>
      </c>
      <c r="H130" s="45"/>
      <c r="I130" s="46">
        <f t="shared" si="1"/>
        <v>25</v>
      </c>
      <c r="J130" s="157"/>
    </row>
    <row r="131" spans="1:10" ht="15.75" customHeight="1">
      <c r="A131" s="157"/>
      <c r="B131" s="150" t="s">
        <v>85</v>
      </c>
      <c r="C131" s="41" t="s">
        <v>16</v>
      </c>
      <c r="D131" s="42">
        <v>1</v>
      </c>
      <c r="E131" s="46">
        <v>25</v>
      </c>
      <c r="F131" s="46">
        <f t="shared" si="0"/>
        <v>25</v>
      </c>
      <c r="G131" s="40" t="s">
        <v>19</v>
      </c>
      <c r="H131" s="45"/>
      <c r="I131" s="46">
        <f t="shared" si="1"/>
        <v>25</v>
      </c>
      <c r="J131" s="157"/>
    </row>
    <row r="132" spans="1:10" ht="15.75" customHeight="1">
      <c r="A132" s="157"/>
      <c r="B132" s="151"/>
      <c r="C132" s="49" t="s">
        <v>23</v>
      </c>
      <c r="D132" s="42">
        <v>0.5</v>
      </c>
      <c r="E132" s="46">
        <v>50</v>
      </c>
      <c r="F132" s="46">
        <f t="shared" si="0"/>
        <v>25</v>
      </c>
      <c r="G132" s="40" t="s">
        <v>19</v>
      </c>
      <c r="H132" s="45"/>
      <c r="I132" s="46">
        <f t="shared" si="1"/>
        <v>25</v>
      </c>
      <c r="J132" s="157"/>
    </row>
    <row r="133" spans="1:10" ht="15.75" customHeight="1">
      <c r="A133" s="157"/>
      <c r="B133" s="42" t="s">
        <v>25</v>
      </c>
      <c r="C133" s="41" t="s">
        <v>16</v>
      </c>
      <c r="D133" s="42">
        <v>1</v>
      </c>
      <c r="E133" s="46">
        <v>25</v>
      </c>
      <c r="F133" s="46">
        <f t="shared" si="0"/>
        <v>25</v>
      </c>
      <c r="G133" s="45"/>
      <c r="H133" s="45"/>
      <c r="I133" s="46">
        <f t="shared" si="1"/>
        <v>25</v>
      </c>
      <c r="J133" s="157"/>
    </row>
    <row r="134" spans="1:10" ht="15.75" customHeight="1">
      <c r="A134" s="157"/>
      <c r="B134" s="45"/>
      <c r="C134" s="49" t="s">
        <v>23</v>
      </c>
      <c r="D134" s="42">
        <v>0.5</v>
      </c>
      <c r="E134" s="46">
        <v>50</v>
      </c>
      <c r="F134" s="46">
        <f t="shared" si="0"/>
        <v>25</v>
      </c>
      <c r="G134" s="45"/>
      <c r="H134" s="45"/>
      <c r="I134" s="46">
        <f t="shared" si="1"/>
        <v>25</v>
      </c>
      <c r="J134" s="157"/>
    </row>
    <row r="135" spans="1:10" ht="15.75" customHeight="1">
      <c r="A135" s="157"/>
      <c r="B135" s="150" t="s">
        <v>86</v>
      </c>
      <c r="C135" s="41" t="s">
        <v>16</v>
      </c>
      <c r="D135" s="42">
        <v>1</v>
      </c>
      <c r="E135" s="46">
        <v>25</v>
      </c>
      <c r="F135" s="46">
        <f t="shared" si="0"/>
        <v>25</v>
      </c>
      <c r="G135" s="42" t="s">
        <v>19</v>
      </c>
      <c r="H135" s="45"/>
      <c r="I135" s="46">
        <f t="shared" si="1"/>
        <v>25</v>
      </c>
      <c r="J135" s="157"/>
    </row>
    <row r="136" spans="1:10" ht="15.75" customHeight="1">
      <c r="A136" s="157"/>
      <c r="B136" s="151"/>
      <c r="C136" s="49" t="s">
        <v>23</v>
      </c>
      <c r="D136" s="42">
        <v>0.5</v>
      </c>
      <c r="E136" s="46">
        <v>50</v>
      </c>
      <c r="F136" s="46">
        <f t="shared" si="0"/>
        <v>25</v>
      </c>
      <c r="G136" s="42" t="s">
        <v>19</v>
      </c>
      <c r="H136" s="45"/>
      <c r="I136" s="46">
        <f t="shared" si="1"/>
        <v>25</v>
      </c>
      <c r="J136" s="157"/>
    </row>
    <row r="137" spans="1:10" ht="15.75" customHeight="1">
      <c r="A137" s="157"/>
      <c r="B137" s="150" t="s">
        <v>87</v>
      </c>
      <c r="C137" s="41" t="s">
        <v>16</v>
      </c>
      <c r="D137" s="42">
        <v>1</v>
      </c>
      <c r="E137" s="46">
        <v>25</v>
      </c>
      <c r="F137" s="46">
        <f t="shared" si="0"/>
        <v>25</v>
      </c>
      <c r="G137" s="42" t="s">
        <v>17</v>
      </c>
      <c r="H137" s="45"/>
      <c r="I137" s="46">
        <f t="shared" si="1"/>
        <v>25</v>
      </c>
      <c r="J137" s="157"/>
    </row>
    <row r="138" spans="1:10" ht="15.75" customHeight="1">
      <c r="A138" s="157"/>
      <c r="B138" s="151"/>
      <c r="C138" s="49" t="s">
        <v>23</v>
      </c>
      <c r="D138" s="42">
        <v>0.5</v>
      </c>
      <c r="E138" s="46">
        <v>50</v>
      </c>
      <c r="F138" s="46">
        <f t="shared" si="0"/>
        <v>25</v>
      </c>
      <c r="G138" s="42"/>
      <c r="H138" s="45"/>
      <c r="I138" s="46">
        <f t="shared" si="1"/>
        <v>25</v>
      </c>
      <c r="J138" s="157"/>
    </row>
    <row r="139" spans="1:10" ht="15.75" customHeight="1">
      <c r="A139" s="157"/>
      <c r="B139" s="150"/>
      <c r="C139" s="41" t="s">
        <v>16</v>
      </c>
      <c r="D139" s="42">
        <v>1</v>
      </c>
      <c r="E139" s="46">
        <v>25</v>
      </c>
      <c r="F139" s="46">
        <f t="shared" si="0"/>
        <v>25</v>
      </c>
      <c r="G139" s="42" t="s">
        <v>17</v>
      </c>
      <c r="H139" s="45"/>
      <c r="I139" s="46">
        <f t="shared" si="1"/>
        <v>25</v>
      </c>
      <c r="J139" s="157"/>
    </row>
    <row r="140" spans="1:10" ht="15.75" customHeight="1">
      <c r="A140" s="151"/>
      <c r="B140" s="151"/>
      <c r="C140" s="49" t="s">
        <v>23</v>
      </c>
      <c r="D140" s="42">
        <v>0.5</v>
      </c>
      <c r="E140" s="46">
        <v>50</v>
      </c>
      <c r="F140" s="46">
        <f t="shared" si="0"/>
        <v>25</v>
      </c>
      <c r="G140" s="42"/>
      <c r="H140" s="45"/>
      <c r="I140" s="46">
        <f t="shared" si="1"/>
        <v>25</v>
      </c>
      <c r="J140" s="157"/>
    </row>
    <row r="141" spans="1:10" ht="15.75" customHeight="1">
      <c r="A141" s="45"/>
      <c r="B141" s="42" t="s">
        <v>88</v>
      </c>
      <c r="C141" s="41" t="s">
        <v>16</v>
      </c>
      <c r="D141" s="42">
        <v>1</v>
      </c>
      <c r="E141" s="46">
        <v>25</v>
      </c>
      <c r="F141" s="46">
        <f t="shared" si="0"/>
        <v>25</v>
      </c>
      <c r="G141" s="42"/>
      <c r="H141" s="45"/>
      <c r="I141" s="46">
        <f t="shared" si="1"/>
        <v>25</v>
      </c>
      <c r="J141" s="157"/>
    </row>
    <row r="142" spans="1:10" ht="15.75" customHeight="1">
      <c r="A142" s="45"/>
      <c r="B142" s="42"/>
      <c r="C142" s="49" t="s">
        <v>23</v>
      </c>
      <c r="D142" s="42">
        <v>0.5</v>
      </c>
      <c r="E142" s="46">
        <v>50</v>
      </c>
      <c r="F142" s="46">
        <f t="shared" si="0"/>
        <v>25</v>
      </c>
      <c r="G142" s="42" t="s">
        <v>19</v>
      </c>
      <c r="H142" s="45"/>
      <c r="I142" s="46">
        <f t="shared" si="1"/>
        <v>25</v>
      </c>
      <c r="J142" s="157"/>
    </row>
    <row r="143" spans="1:10" ht="15.75" customHeight="1">
      <c r="A143" s="45"/>
      <c r="B143" s="42"/>
      <c r="C143" s="49" t="s">
        <v>23</v>
      </c>
      <c r="D143" s="42">
        <v>1</v>
      </c>
      <c r="E143" s="46">
        <v>49.9</v>
      </c>
      <c r="F143" s="46">
        <f t="shared" si="0"/>
        <v>49.9</v>
      </c>
      <c r="G143" s="42" t="s">
        <v>19</v>
      </c>
      <c r="H143" s="45"/>
      <c r="I143" s="46">
        <f t="shared" si="1"/>
        <v>49.9</v>
      </c>
      <c r="J143" s="151"/>
    </row>
    <row r="144" spans="1:10" ht="15.75" customHeight="1">
      <c r="A144" s="45"/>
      <c r="B144" s="42"/>
      <c r="C144" s="41" t="s">
        <v>16</v>
      </c>
      <c r="D144" s="42">
        <v>1</v>
      </c>
      <c r="E144" s="46">
        <v>29.9</v>
      </c>
      <c r="F144" s="46">
        <f t="shared" si="0"/>
        <v>29.9</v>
      </c>
      <c r="G144" s="42" t="s">
        <v>19</v>
      </c>
      <c r="H144" s="45"/>
      <c r="I144" s="46">
        <f t="shared" si="1"/>
        <v>29.9</v>
      </c>
      <c r="J144" s="45"/>
    </row>
    <row r="145" spans="1:20" ht="15.75" customHeight="1">
      <c r="A145" s="45"/>
      <c r="B145" s="42" t="s">
        <v>89</v>
      </c>
      <c r="C145" s="49" t="s">
        <v>23</v>
      </c>
      <c r="D145" s="42">
        <v>0.5</v>
      </c>
      <c r="E145" s="46">
        <v>50</v>
      </c>
      <c r="F145" s="46">
        <f t="shared" si="0"/>
        <v>25</v>
      </c>
      <c r="G145" s="42"/>
      <c r="H145" s="45"/>
      <c r="I145" s="46">
        <f t="shared" si="1"/>
        <v>25</v>
      </c>
      <c r="J145" s="45"/>
    </row>
    <row r="146" spans="1:20" ht="15.75" customHeight="1">
      <c r="A146" s="45"/>
      <c r="B146" s="42"/>
      <c r="C146" s="41" t="s">
        <v>16</v>
      </c>
      <c r="D146" s="42">
        <v>1</v>
      </c>
      <c r="E146" s="46">
        <v>25</v>
      </c>
      <c r="F146" s="46">
        <f t="shared" si="0"/>
        <v>25</v>
      </c>
      <c r="G146" s="42" t="s">
        <v>19</v>
      </c>
      <c r="H146" s="45"/>
      <c r="I146" s="46">
        <f t="shared" si="1"/>
        <v>25</v>
      </c>
      <c r="J146" s="45"/>
    </row>
    <row r="147" spans="1:20" ht="15.75" customHeight="1">
      <c r="A147" s="45"/>
      <c r="B147" s="150" t="s">
        <v>90</v>
      </c>
      <c r="C147" s="41" t="s">
        <v>16</v>
      </c>
      <c r="D147" s="42">
        <v>1</v>
      </c>
      <c r="E147" s="46">
        <v>25</v>
      </c>
      <c r="F147" s="46">
        <f t="shared" si="0"/>
        <v>25</v>
      </c>
      <c r="G147" s="42"/>
      <c r="H147" s="45"/>
      <c r="I147" s="46">
        <f t="shared" si="1"/>
        <v>25</v>
      </c>
      <c r="J147" s="45"/>
    </row>
    <row r="148" spans="1:20" ht="15.75" customHeight="1">
      <c r="A148" s="45"/>
      <c r="B148" s="151"/>
      <c r="C148" s="49" t="s">
        <v>23</v>
      </c>
      <c r="D148" s="42">
        <v>0.5</v>
      </c>
      <c r="E148" s="46">
        <v>50</v>
      </c>
      <c r="F148" s="46">
        <f t="shared" si="0"/>
        <v>25</v>
      </c>
      <c r="G148" s="42"/>
      <c r="H148" s="45"/>
      <c r="I148" s="46">
        <f t="shared" si="1"/>
        <v>25</v>
      </c>
      <c r="J148" s="45"/>
    </row>
    <row r="149" spans="1:20" ht="15.75" customHeight="1">
      <c r="A149" s="45"/>
      <c r="B149" s="42"/>
      <c r="C149" s="41" t="s">
        <v>16</v>
      </c>
      <c r="D149" s="42">
        <v>1</v>
      </c>
      <c r="E149" s="46">
        <v>25</v>
      </c>
      <c r="F149" s="46">
        <f t="shared" si="0"/>
        <v>25</v>
      </c>
      <c r="G149" s="150" t="s">
        <v>31</v>
      </c>
      <c r="H149" s="45"/>
      <c r="I149" s="46">
        <f t="shared" si="1"/>
        <v>25</v>
      </c>
      <c r="J149" s="45"/>
      <c r="Q149" s="181" t="s">
        <v>91</v>
      </c>
      <c r="R149" s="51" t="s">
        <v>48</v>
      </c>
      <c r="S149" s="52">
        <v>1</v>
      </c>
      <c r="T149" s="53">
        <v>70</v>
      </c>
    </row>
    <row r="150" spans="1:20" ht="15.75" customHeight="1">
      <c r="A150" s="45"/>
      <c r="B150" s="42"/>
      <c r="C150" s="49" t="s">
        <v>23</v>
      </c>
      <c r="D150" s="42">
        <v>0.5</v>
      </c>
      <c r="E150" s="46">
        <v>50</v>
      </c>
      <c r="F150" s="46">
        <f t="shared" si="0"/>
        <v>25</v>
      </c>
      <c r="G150" s="151"/>
      <c r="H150" s="45"/>
      <c r="I150" s="46">
        <f t="shared" si="1"/>
        <v>25</v>
      </c>
      <c r="J150" s="45"/>
      <c r="Q150" s="182"/>
      <c r="R150" s="51" t="s">
        <v>23</v>
      </c>
      <c r="S150" s="52">
        <v>1</v>
      </c>
      <c r="T150" s="53">
        <v>49.9</v>
      </c>
    </row>
    <row r="151" spans="1:20" ht="15.75" customHeight="1">
      <c r="A151" s="45"/>
      <c r="B151" s="42"/>
      <c r="C151" s="41" t="s">
        <v>16</v>
      </c>
      <c r="D151" s="42">
        <v>2</v>
      </c>
      <c r="E151" s="46">
        <v>29.9</v>
      </c>
      <c r="F151" s="46">
        <f t="shared" si="0"/>
        <v>59.8</v>
      </c>
      <c r="G151" s="42" t="s">
        <v>19</v>
      </c>
      <c r="H151" s="45"/>
      <c r="I151" s="46">
        <f t="shared" si="1"/>
        <v>59.8</v>
      </c>
      <c r="J151" s="45"/>
      <c r="Q151" s="183"/>
      <c r="R151" s="54" t="s">
        <v>16</v>
      </c>
      <c r="S151" s="52">
        <v>1</v>
      </c>
      <c r="T151" s="53">
        <v>29.9</v>
      </c>
    </row>
    <row r="152" spans="1:20" ht="15.75" customHeight="1">
      <c r="A152" s="45"/>
      <c r="B152" s="42" t="s">
        <v>89</v>
      </c>
      <c r="C152" s="49" t="s">
        <v>23</v>
      </c>
      <c r="D152" s="42">
        <v>3</v>
      </c>
      <c r="E152" s="46">
        <v>49.9</v>
      </c>
      <c r="F152" s="46">
        <f t="shared" si="0"/>
        <v>149.69999999999999</v>
      </c>
      <c r="G152" s="42" t="s">
        <v>62</v>
      </c>
      <c r="H152" s="45"/>
      <c r="I152" s="46">
        <f t="shared" si="1"/>
        <v>149.69999999999999</v>
      </c>
      <c r="J152" s="45"/>
      <c r="Q152" s="55" t="s">
        <v>92</v>
      </c>
      <c r="R152" s="51" t="s">
        <v>23</v>
      </c>
      <c r="S152" s="56">
        <v>0.5</v>
      </c>
      <c r="T152" s="57">
        <v>49.9</v>
      </c>
    </row>
    <row r="153" spans="1:20" ht="15.75" customHeight="1">
      <c r="A153" s="45"/>
      <c r="B153" s="42" t="s">
        <v>93</v>
      </c>
      <c r="C153" s="49" t="s">
        <v>23</v>
      </c>
      <c r="D153" s="42">
        <v>1</v>
      </c>
      <c r="E153" s="46">
        <v>49.9</v>
      </c>
      <c r="F153" s="46">
        <f t="shared" si="0"/>
        <v>49.9</v>
      </c>
      <c r="G153" s="42" t="s">
        <v>17</v>
      </c>
      <c r="H153" s="45"/>
      <c r="I153" s="46">
        <f t="shared" si="1"/>
        <v>49.9</v>
      </c>
      <c r="J153" s="45"/>
      <c r="Q153" s="54"/>
      <c r="R153" s="54" t="s">
        <v>16</v>
      </c>
      <c r="S153" s="56">
        <v>0.5</v>
      </c>
      <c r="T153" s="57">
        <v>29.9</v>
      </c>
    </row>
    <row r="154" spans="1:20" ht="15.75" customHeight="1">
      <c r="A154" s="45"/>
      <c r="B154" s="42" t="s">
        <v>94</v>
      </c>
      <c r="C154" s="49" t="s">
        <v>23</v>
      </c>
      <c r="D154" s="42">
        <v>1</v>
      </c>
      <c r="E154" s="46">
        <v>49.9</v>
      </c>
      <c r="F154" s="46">
        <f t="shared" si="0"/>
        <v>49.9</v>
      </c>
      <c r="G154" s="42" t="s">
        <v>17</v>
      </c>
      <c r="H154" s="45"/>
      <c r="I154" s="46">
        <f t="shared" si="1"/>
        <v>49.9</v>
      </c>
      <c r="J154" s="45"/>
      <c r="Q154" s="54" t="s">
        <v>95</v>
      </c>
      <c r="R154" s="54" t="s">
        <v>16</v>
      </c>
      <c r="S154" s="56">
        <v>1</v>
      </c>
      <c r="T154" s="57">
        <v>29.9</v>
      </c>
    </row>
    <row r="155" spans="1:20" ht="15.75" customHeight="1">
      <c r="A155" s="45"/>
      <c r="B155" s="42" t="s">
        <v>50</v>
      </c>
      <c r="C155" s="47" t="s">
        <v>48</v>
      </c>
      <c r="D155" s="42">
        <v>4</v>
      </c>
      <c r="E155" s="46">
        <v>70</v>
      </c>
      <c r="F155" s="46">
        <f t="shared" si="0"/>
        <v>280</v>
      </c>
      <c r="G155" s="42" t="s">
        <v>19</v>
      </c>
      <c r="H155" s="45"/>
      <c r="I155" s="46">
        <f t="shared" si="1"/>
        <v>280</v>
      </c>
      <c r="J155" s="45"/>
      <c r="Q155" s="55" t="s">
        <v>96</v>
      </c>
      <c r="R155" s="58" t="s">
        <v>27</v>
      </c>
      <c r="S155" s="56">
        <v>1</v>
      </c>
      <c r="T155" s="57">
        <v>55</v>
      </c>
    </row>
    <row r="156" spans="1:20" ht="15.75" customHeight="1">
      <c r="A156" s="59">
        <v>46217</v>
      </c>
      <c r="B156" s="150" t="s">
        <v>82</v>
      </c>
      <c r="C156" s="41" t="s">
        <v>16</v>
      </c>
      <c r="D156" s="42">
        <v>1</v>
      </c>
      <c r="E156" s="46">
        <v>25</v>
      </c>
      <c r="F156" s="46">
        <f t="shared" si="0"/>
        <v>25</v>
      </c>
      <c r="G156" s="150" t="s">
        <v>83</v>
      </c>
      <c r="H156" s="45"/>
      <c r="I156" s="46">
        <f t="shared" si="1"/>
        <v>25</v>
      </c>
      <c r="J156" s="45"/>
      <c r="T156" s="3">
        <f>T149+T150+T151+T152+T153+T154+T155</f>
        <v>314.5</v>
      </c>
    </row>
    <row r="157" spans="1:20" ht="15.75" customHeight="1">
      <c r="A157" s="45"/>
      <c r="B157" s="151"/>
      <c r="C157" s="49" t="s">
        <v>23</v>
      </c>
      <c r="D157" s="42">
        <v>0.5</v>
      </c>
      <c r="E157" s="46">
        <v>50</v>
      </c>
      <c r="F157" s="46">
        <f t="shared" si="0"/>
        <v>25</v>
      </c>
      <c r="G157" s="151"/>
      <c r="H157" s="45"/>
      <c r="I157" s="46">
        <f t="shared" si="1"/>
        <v>25</v>
      </c>
      <c r="J157" s="45"/>
    </row>
    <row r="158" spans="1:20" ht="15.75" customHeight="1">
      <c r="A158" s="156">
        <v>46217</v>
      </c>
      <c r="B158" s="150" t="s">
        <v>64</v>
      </c>
      <c r="C158" s="41" t="s">
        <v>16</v>
      </c>
      <c r="D158" s="42">
        <v>2</v>
      </c>
      <c r="E158" s="46">
        <v>25</v>
      </c>
      <c r="F158" s="46">
        <f t="shared" si="0"/>
        <v>50</v>
      </c>
      <c r="G158" s="150" t="s">
        <v>76</v>
      </c>
      <c r="H158" s="45"/>
      <c r="I158" s="46">
        <f t="shared" si="1"/>
        <v>50</v>
      </c>
      <c r="J158" s="45"/>
    </row>
    <row r="159" spans="1:20" ht="15.75" customHeight="1">
      <c r="A159" s="157"/>
      <c r="B159" s="157"/>
      <c r="C159" s="49" t="s">
        <v>23</v>
      </c>
      <c r="D159" s="42">
        <v>1</v>
      </c>
      <c r="E159" s="46">
        <v>50</v>
      </c>
      <c r="F159" s="46">
        <f t="shared" si="0"/>
        <v>50</v>
      </c>
      <c r="G159" s="157"/>
      <c r="H159" s="45"/>
      <c r="I159" s="46">
        <f t="shared" si="1"/>
        <v>50</v>
      </c>
      <c r="J159" s="45"/>
    </row>
    <row r="160" spans="1:20" ht="15.75" customHeight="1">
      <c r="A160" s="151"/>
      <c r="B160" s="151"/>
      <c r="C160" s="41" t="s">
        <v>26</v>
      </c>
      <c r="D160" s="42">
        <v>0.8</v>
      </c>
      <c r="E160" s="46">
        <v>120</v>
      </c>
      <c r="F160" s="46">
        <f t="shared" si="0"/>
        <v>96</v>
      </c>
      <c r="G160" s="151"/>
      <c r="H160" s="45"/>
      <c r="I160" s="46">
        <f t="shared" si="1"/>
        <v>96</v>
      </c>
      <c r="J160" s="45"/>
    </row>
    <row r="161" spans="1:20" ht="15.75" customHeight="1">
      <c r="A161" s="156">
        <v>46217</v>
      </c>
      <c r="B161" s="42" t="s">
        <v>24</v>
      </c>
      <c r="C161" s="49" t="s">
        <v>23</v>
      </c>
      <c r="D161" s="42">
        <v>0.5</v>
      </c>
      <c r="E161" s="46">
        <v>49.9</v>
      </c>
      <c r="F161" s="46">
        <f t="shared" si="0"/>
        <v>24.95</v>
      </c>
      <c r="G161" s="42" t="s">
        <v>19</v>
      </c>
      <c r="H161" s="45"/>
      <c r="I161" s="46">
        <f t="shared" si="1"/>
        <v>24.95</v>
      </c>
      <c r="J161" s="45"/>
      <c r="P161" s="55"/>
      <c r="Q161" s="60" t="s">
        <v>54</v>
      </c>
      <c r="R161" s="58" t="s">
        <v>48</v>
      </c>
      <c r="S161" s="55"/>
      <c r="T161" s="2">
        <v>70</v>
      </c>
    </row>
    <row r="162" spans="1:20" ht="15.75" customHeight="1">
      <c r="A162" s="157"/>
      <c r="B162" s="42" t="s">
        <v>97</v>
      </c>
      <c r="C162" s="49" t="s">
        <v>23</v>
      </c>
      <c r="D162" s="42">
        <v>1</v>
      </c>
      <c r="E162" s="46">
        <v>49.9</v>
      </c>
      <c r="F162" s="46">
        <f t="shared" si="0"/>
        <v>49.9</v>
      </c>
      <c r="G162" s="42" t="s">
        <v>17</v>
      </c>
      <c r="H162" s="45"/>
      <c r="I162" s="46">
        <f t="shared" si="1"/>
        <v>49.9</v>
      </c>
      <c r="J162" s="45"/>
      <c r="P162" s="55"/>
      <c r="Q162" s="60" t="s">
        <v>56</v>
      </c>
      <c r="R162" s="61" t="s">
        <v>23</v>
      </c>
      <c r="S162" s="55"/>
      <c r="T162" s="2">
        <v>49.9</v>
      </c>
    </row>
    <row r="163" spans="1:20" ht="15.75" customHeight="1">
      <c r="A163" s="157"/>
      <c r="B163" s="150" t="s">
        <v>58</v>
      </c>
      <c r="C163" s="41" t="s">
        <v>16</v>
      </c>
      <c r="D163" s="42">
        <v>1</v>
      </c>
      <c r="E163" s="46">
        <v>25</v>
      </c>
      <c r="F163" s="46">
        <f t="shared" si="0"/>
        <v>25</v>
      </c>
      <c r="G163" s="45"/>
      <c r="H163" s="45"/>
      <c r="I163" s="46">
        <f t="shared" si="1"/>
        <v>25</v>
      </c>
      <c r="J163" s="45"/>
      <c r="P163" s="55" t="s">
        <v>98</v>
      </c>
      <c r="Q163" s="51" t="s">
        <v>48</v>
      </c>
      <c r="R163" s="55"/>
      <c r="S163" s="55"/>
      <c r="T163" s="2">
        <v>70</v>
      </c>
    </row>
    <row r="164" spans="1:20" ht="15.75" customHeight="1">
      <c r="A164" s="157"/>
      <c r="B164" s="151"/>
      <c r="C164" s="49" t="s">
        <v>23</v>
      </c>
      <c r="D164" s="42">
        <v>0.5</v>
      </c>
      <c r="E164" s="46">
        <v>50</v>
      </c>
      <c r="F164" s="46">
        <f t="shared" si="0"/>
        <v>25</v>
      </c>
      <c r="G164" s="45"/>
      <c r="H164" s="45"/>
      <c r="I164" s="46">
        <f t="shared" si="1"/>
        <v>25</v>
      </c>
      <c r="J164" s="45"/>
      <c r="T164" s="3">
        <f>+T161+T162+T163</f>
        <v>189.9</v>
      </c>
    </row>
    <row r="165" spans="1:20" ht="15.75" customHeight="1">
      <c r="A165" s="157"/>
      <c r="B165" s="150" t="s">
        <v>99</v>
      </c>
      <c r="C165" s="41" t="s">
        <v>16</v>
      </c>
      <c r="D165" s="42">
        <v>1</v>
      </c>
      <c r="E165" s="46">
        <v>25</v>
      </c>
      <c r="F165" s="46">
        <f t="shared" si="0"/>
        <v>25</v>
      </c>
      <c r="G165" s="42" t="s">
        <v>19</v>
      </c>
      <c r="H165" s="45"/>
      <c r="I165" s="46">
        <f t="shared" si="1"/>
        <v>25</v>
      </c>
      <c r="J165" s="45"/>
    </row>
    <row r="166" spans="1:20" ht="15.75" customHeight="1">
      <c r="A166" s="151"/>
      <c r="B166" s="151"/>
      <c r="C166" s="49" t="s">
        <v>23</v>
      </c>
      <c r="D166" s="42">
        <v>0.5</v>
      </c>
      <c r="E166" s="46">
        <v>50</v>
      </c>
      <c r="F166" s="46">
        <f t="shared" si="0"/>
        <v>25</v>
      </c>
      <c r="G166" s="42" t="s">
        <v>19</v>
      </c>
      <c r="H166" s="45"/>
      <c r="I166" s="46">
        <f t="shared" si="1"/>
        <v>25</v>
      </c>
      <c r="J166" s="45"/>
    </row>
    <row r="167" spans="1:20" ht="15.75" customHeight="1">
      <c r="A167" s="5"/>
      <c r="B167" s="166" t="s">
        <v>91</v>
      </c>
      <c r="C167" s="16" t="s">
        <v>48</v>
      </c>
      <c r="D167" s="62">
        <v>1</v>
      </c>
      <c r="E167" s="63"/>
      <c r="F167" s="64">
        <f t="shared" si="0"/>
        <v>0</v>
      </c>
      <c r="G167" s="5"/>
      <c r="H167" s="5"/>
      <c r="I167" s="64">
        <f t="shared" si="1"/>
        <v>0</v>
      </c>
      <c r="J167" s="184" t="s">
        <v>100</v>
      </c>
      <c r="S167" s="54" t="s">
        <v>101</v>
      </c>
      <c r="T167" s="57">
        <f>T156+T164</f>
        <v>504.4</v>
      </c>
    </row>
    <row r="168" spans="1:20" ht="15.75" customHeight="1">
      <c r="A168" s="5"/>
      <c r="B168" s="157"/>
      <c r="C168" s="16" t="s">
        <v>23</v>
      </c>
      <c r="D168" s="62">
        <v>1</v>
      </c>
      <c r="E168" s="63"/>
      <c r="F168" s="64">
        <f t="shared" si="0"/>
        <v>0</v>
      </c>
      <c r="G168" s="5"/>
      <c r="H168" s="5"/>
      <c r="I168" s="64">
        <f t="shared" si="1"/>
        <v>0</v>
      </c>
      <c r="J168" s="157"/>
    </row>
    <row r="169" spans="1:20" ht="15.75" customHeight="1">
      <c r="A169" s="5"/>
      <c r="B169" s="151"/>
      <c r="C169" s="14" t="s">
        <v>16</v>
      </c>
      <c r="D169" s="62">
        <v>1</v>
      </c>
      <c r="E169" s="65"/>
      <c r="F169" s="64">
        <f t="shared" si="0"/>
        <v>0</v>
      </c>
      <c r="G169" s="5"/>
      <c r="H169" s="5"/>
      <c r="I169" s="64">
        <f t="shared" si="1"/>
        <v>0</v>
      </c>
      <c r="J169" s="151"/>
    </row>
    <row r="170" spans="1:20" ht="15.75" customHeight="1">
      <c r="A170" s="5"/>
      <c r="B170" s="6" t="s">
        <v>98</v>
      </c>
      <c r="C170" s="16" t="s">
        <v>48</v>
      </c>
      <c r="D170" s="66">
        <v>1</v>
      </c>
      <c r="E170" s="64"/>
      <c r="F170" s="64">
        <f t="shared" si="0"/>
        <v>0</v>
      </c>
      <c r="G170" s="5"/>
      <c r="H170" s="5"/>
      <c r="I170" s="8">
        <f t="shared" si="1"/>
        <v>0</v>
      </c>
      <c r="J170" s="63" t="s">
        <v>102</v>
      </c>
    </row>
    <row r="171" spans="1:20" ht="15.75" customHeight="1">
      <c r="A171" s="5"/>
      <c r="B171" s="6" t="s">
        <v>92</v>
      </c>
      <c r="C171" s="16" t="s">
        <v>23</v>
      </c>
      <c r="D171" s="66">
        <v>0.5</v>
      </c>
      <c r="E171" s="64"/>
      <c r="F171" s="64">
        <f t="shared" si="0"/>
        <v>0</v>
      </c>
      <c r="G171" s="14"/>
      <c r="H171" s="14"/>
      <c r="I171" s="64">
        <f t="shared" si="1"/>
        <v>0</v>
      </c>
      <c r="J171" s="63" t="s">
        <v>103</v>
      </c>
    </row>
    <row r="172" spans="1:20" ht="15.75" customHeight="1">
      <c r="A172" s="5"/>
      <c r="B172" s="66"/>
      <c r="C172" s="14" t="s">
        <v>16</v>
      </c>
      <c r="D172" s="66">
        <v>0.5</v>
      </c>
      <c r="E172" s="64"/>
      <c r="F172" s="64">
        <f t="shared" si="0"/>
        <v>0</v>
      </c>
      <c r="G172" s="14"/>
      <c r="H172" s="14"/>
      <c r="I172" s="64">
        <f t="shared" si="1"/>
        <v>0</v>
      </c>
      <c r="J172" s="63"/>
    </row>
    <row r="173" spans="1:20" ht="15.75" customHeight="1">
      <c r="A173" s="5"/>
      <c r="B173" s="66" t="s">
        <v>95</v>
      </c>
      <c r="C173" s="14" t="s">
        <v>16</v>
      </c>
      <c r="D173" s="66">
        <v>1</v>
      </c>
      <c r="E173" s="64"/>
      <c r="F173" s="64">
        <f t="shared" si="0"/>
        <v>0</v>
      </c>
      <c r="G173" s="14"/>
      <c r="H173" s="14"/>
      <c r="I173" s="64">
        <f t="shared" si="1"/>
        <v>0</v>
      </c>
      <c r="J173" s="63" t="s">
        <v>103</v>
      </c>
    </row>
    <row r="174" spans="1:20" ht="15.75" customHeight="1">
      <c r="A174" s="156">
        <v>46219</v>
      </c>
      <c r="B174" s="67" t="s">
        <v>104</v>
      </c>
      <c r="C174" s="41" t="s">
        <v>16</v>
      </c>
      <c r="D174" s="42">
        <v>1</v>
      </c>
      <c r="E174" s="46">
        <v>25</v>
      </c>
      <c r="F174" s="68">
        <f t="shared" si="0"/>
        <v>25</v>
      </c>
      <c r="G174" s="69" t="s">
        <v>19</v>
      </c>
      <c r="H174" s="41"/>
      <c r="I174" s="68">
        <f t="shared" si="1"/>
        <v>25</v>
      </c>
      <c r="J174" s="45" t="s">
        <v>80</v>
      </c>
    </row>
    <row r="175" spans="1:20" ht="15.75" customHeight="1">
      <c r="A175" s="151"/>
      <c r="B175" s="67"/>
      <c r="C175" s="49" t="s">
        <v>23</v>
      </c>
      <c r="D175" s="42">
        <v>0.5</v>
      </c>
      <c r="E175" s="46">
        <v>50</v>
      </c>
      <c r="F175" s="68">
        <f t="shared" si="0"/>
        <v>25</v>
      </c>
      <c r="G175" s="69"/>
      <c r="H175" s="41"/>
      <c r="I175" s="68">
        <f t="shared" si="1"/>
        <v>25</v>
      </c>
      <c r="J175" s="45" t="s">
        <v>105</v>
      </c>
    </row>
    <row r="176" spans="1:20" ht="15.75" customHeight="1">
      <c r="A176" s="50">
        <v>46219</v>
      </c>
      <c r="B176" s="40" t="s">
        <v>106</v>
      </c>
      <c r="C176" s="41" t="s">
        <v>16</v>
      </c>
      <c r="D176" s="42">
        <v>1</v>
      </c>
      <c r="E176" s="46">
        <v>29.9</v>
      </c>
      <c r="F176" s="68">
        <f t="shared" si="0"/>
        <v>29.9</v>
      </c>
      <c r="G176" s="69" t="s">
        <v>17</v>
      </c>
      <c r="H176" s="41"/>
      <c r="I176" s="68">
        <f t="shared" si="1"/>
        <v>29.9</v>
      </c>
      <c r="J176" s="45"/>
    </row>
    <row r="177" spans="1:10" ht="15.75" customHeight="1">
      <c r="A177" s="50">
        <v>46219</v>
      </c>
      <c r="B177" s="42" t="s">
        <v>107</v>
      </c>
      <c r="C177" s="41" t="s">
        <v>16</v>
      </c>
      <c r="D177" s="42">
        <v>2</v>
      </c>
      <c r="E177" s="46">
        <v>29.9</v>
      </c>
      <c r="F177" s="68">
        <f t="shared" si="0"/>
        <v>59.8</v>
      </c>
      <c r="G177" s="185" t="s">
        <v>19</v>
      </c>
      <c r="H177" s="41"/>
      <c r="I177" s="68">
        <f t="shared" si="1"/>
        <v>59.8</v>
      </c>
      <c r="J177" s="45"/>
    </row>
    <row r="178" spans="1:10" ht="15.75" customHeight="1">
      <c r="A178" s="50">
        <v>46219</v>
      </c>
      <c r="B178" s="42" t="s">
        <v>107</v>
      </c>
      <c r="C178" s="49" t="s">
        <v>23</v>
      </c>
      <c r="D178" s="42">
        <v>1</v>
      </c>
      <c r="E178" s="46">
        <v>49.9</v>
      </c>
      <c r="F178" s="68">
        <f t="shared" si="0"/>
        <v>49.9</v>
      </c>
      <c r="G178" s="151"/>
      <c r="H178" s="41"/>
      <c r="I178" s="68">
        <f t="shared" si="1"/>
        <v>49.9</v>
      </c>
      <c r="J178" s="45"/>
    </row>
    <row r="179" spans="1:10" ht="15.75" customHeight="1">
      <c r="A179" s="50">
        <v>46219</v>
      </c>
      <c r="B179" s="165" t="s">
        <v>106</v>
      </c>
      <c r="C179" s="41" t="s">
        <v>16</v>
      </c>
      <c r="D179" s="42">
        <v>1</v>
      </c>
      <c r="E179" s="46">
        <v>25</v>
      </c>
      <c r="F179" s="68">
        <f t="shared" si="0"/>
        <v>25</v>
      </c>
      <c r="G179" s="185" t="s">
        <v>19</v>
      </c>
      <c r="H179" s="41"/>
      <c r="I179" s="68">
        <f t="shared" si="1"/>
        <v>25</v>
      </c>
      <c r="J179" s="45"/>
    </row>
    <row r="180" spans="1:10" ht="15.75" customHeight="1">
      <c r="A180" s="50">
        <v>46219</v>
      </c>
      <c r="B180" s="151"/>
      <c r="C180" s="49" t="s">
        <v>23</v>
      </c>
      <c r="D180" s="42">
        <v>0.5</v>
      </c>
      <c r="E180" s="46">
        <v>50</v>
      </c>
      <c r="F180" s="68">
        <f t="shared" si="0"/>
        <v>25</v>
      </c>
      <c r="G180" s="151"/>
      <c r="H180" s="41"/>
      <c r="I180" s="68">
        <f t="shared" si="1"/>
        <v>25</v>
      </c>
      <c r="J180" s="45"/>
    </row>
    <row r="181" spans="1:10" ht="15.75" customHeight="1">
      <c r="A181" s="50">
        <v>46219</v>
      </c>
      <c r="B181" s="42" t="s">
        <v>108</v>
      </c>
      <c r="C181" s="70" t="s">
        <v>16</v>
      </c>
      <c r="D181" s="42">
        <v>4</v>
      </c>
      <c r="E181" s="43">
        <v>25</v>
      </c>
      <c r="F181" s="43">
        <f t="shared" si="0"/>
        <v>100</v>
      </c>
      <c r="G181" s="69" t="s">
        <v>19</v>
      </c>
      <c r="H181" s="41"/>
      <c r="I181" s="68">
        <f t="shared" si="1"/>
        <v>100</v>
      </c>
      <c r="J181" s="70" t="s">
        <v>109</v>
      </c>
    </row>
    <row r="182" spans="1:10" ht="15.75" customHeight="1">
      <c r="A182" s="50">
        <v>46219</v>
      </c>
      <c r="B182" s="150" t="s">
        <v>110</v>
      </c>
      <c r="C182" s="41" t="s">
        <v>16</v>
      </c>
      <c r="D182" s="42">
        <v>1</v>
      </c>
      <c r="E182" s="46">
        <v>25</v>
      </c>
      <c r="F182" s="68">
        <f t="shared" si="0"/>
        <v>25</v>
      </c>
      <c r="G182" s="69" t="s">
        <v>19</v>
      </c>
      <c r="H182" s="41"/>
      <c r="I182" s="68">
        <f t="shared" si="1"/>
        <v>25</v>
      </c>
      <c r="J182" s="45" t="s">
        <v>80</v>
      </c>
    </row>
    <row r="183" spans="1:10" ht="15.75" customHeight="1">
      <c r="A183" s="50">
        <v>46219</v>
      </c>
      <c r="B183" s="151"/>
      <c r="C183" s="49" t="s">
        <v>23</v>
      </c>
      <c r="D183" s="42">
        <v>0.5</v>
      </c>
      <c r="E183" s="46">
        <v>50</v>
      </c>
      <c r="F183" s="68">
        <f t="shared" si="0"/>
        <v>25</v>
      </c>
      <c r="G183" s="69" t="s">
        <v>19</v>
      </c>
      <c r="H183" s="41"/>
      <c r="I183" s="68">
        <f t="shared" si="1"/>
        <v>25</v>
      </c>
      <c r="J183" s="45"/>
    </row>
    <row r="184" spans="1:10" ht="15.75" customHeight="1">
      <c r="A184" s="59">
        <v>46219</v>
      </c>
      <c r="B184" s="150" t="s">
        <v>111</v>
      </c>
      <c r="C184" s="41" t="s">
        <v>16</v>
      </c>
      <c r="D184" s="40">
        <v>1</v>
      </c>
      <c r="E184" s="71">
        <v>29.9</v>
      </c>
      <c r="F184" s="46">
        <f t="shared" si="0"/>
        <v>29.9</v>
      </c>
      <c r="G184" s="69" t="s">
        <v>19</v>
      </c>
      <c r="H184" s="45"/>
      <c r="I184" s="46">
        <f t="shared" si="1"/>
        <v>29.9</v>
      </c>
      <c r="J184" s="45"/>
    </row>
    <row r="185" spans="1:10" ht="15.75" customHeight="1">
      <c r="A185" s="72"/>
      <c r="B185" s="151"/>
      <c r="C185" s="49" t="s">
        <v>23</v>
      </c>
      <c r="D185" s="40">
        <v>1</v>
      </c>
      <c r="E185" s="46">
        <v>49.9</v>
      </c>
      <c r="F185" s="46">
        <f t="shared" si="0"/>
        <v>49.9</v>
      </c>
      <c r="G185" s="69" t="s">
        <v>19</v>
      </c>
      <c r="H185" s="45"/>
      <c r="I185" s="46">
        <f t="shared" si="1"/>
        <v>49.9</v>
      </c>
      <c r="J185" s="45"/>
    </row>
    <row r="186" spans="1:10" ht="15.75" customHeight="1">
      <c r="A186" s="59">
        <v>46219</v>
      </c>
      <c r="B186" s="42" t="s">
        <v>112</v>
      </c>
      <c r="C186" s="49" t="s">
        <v>23</v>
      </c>
      <c r="D186" s="40">
        <v>1</v>
      </c>
      <c r="E186" s="46">
        <v>49.9</v>
      </c>
      <c r="F186" s="46">
        <f t="shared" si="0"/>
        <v>49.9</v>
      </c>
      <c r="G186" s="69" t="s">
        <v>19</v>
      </c>
      <c r="H186" s="45"/>
      <c r="I186" s="46">
        <f t="shared" si="1"/>
        <v>49.9</v>
      </c>
      <c r="J186" s="45"/>
    </row>
    <row r="187" spans="1:10" ht="15.75" customHeight="1">
      <c r="A187" s="59">
        <v>46219</v>
      </c>
      <c r="B187" s="150" t="s">
        <v>111</v>
      </c>
      <c r="C187" s="49" t="s">
        <v>23</v>
      </c>
      <c r="D187" s="40">
        <v>1</v>
      </c>
      <c r="E187" s="46">
        <v>49.9</v>
      </c>
      <c r="F187" s="46">
        <f t="shared" si="0"/>
        <v>49.9</v>
      </c>
      <c r="G187" s="69" t="s">
        <v>19</v>
      </c>
      <c r="H187" s="45"/>
      <c r="I187" s="46">
        <f t="shared" si="1"/>
        <v>49.9</v>
      </c>
      <c r="J187" s="45"/>
    </row>
    <row r="188" spans="1:10" ht="15.75" customHeight="1">
      <c r="A188" s="59">
        <v>46219</v>
      </c>
      <c r="B188" s="151"/>
      <c r="C188" s="41" t="s">
        <v>16</v>
      </c>
      <c r="D188" s="40">
        <v>1</v>
      </c>
      <c r="E188" s="46">
        <v>29.9</v>
      </c>
      <c r="F188" s="46">
        <f t="shared" si="0"/>
        <v>29.9</v>
      </c>
      <c r="G188" s="69" t="s">
        <v>19</v>
      </c>
      <c r="H188" s="45"/>
      <c r="I188" s="46">
        <f t="shared" si="1"/>
        <v>29.9</v>
      </c>
      <c r="J188" s="45"/>
    </row>
    <row r="189" spans="1:10" ht="15.75" customHeight="1">
      <c r="A189" s="59">
        <v>46219</v>
      </c>
      <c r="B189" s="42" t="s">
        <v>33</v>
      </c>
      <c r="C189" s="41" t="s">
        <v>16</v>
      </c>
      <c r="D189" s="40">
        <v>1</v>
      </c>
      <c r="E189" s="46">
        <v>29.9</v>
      </c>
      <c r="F189" s="46">
        <f t="shared" si="0"/>
        <v>29.9</v>
      </c>
      <c r="G189" s="69" t="s">
        <v>19</v>
      </c>
      <c r="H189" s="45"/>
      <c r="I189" s="46">
        <f t="shared" si="1"/>
        <v>29.9</v>
      </c>
      <c r="J189" s="45"/>
    </row>
    <row r="190" spans="1:10" ht="15.75" customHeight="1">
      <c r="A190" s="59">
        <v>46219</v>
      </c>
      <c r="B190" s="45"/>
      <c r="C190" s="41" t="s">
        <v>26</v>
      </c>
      <c r="D190" s="40">
        <v>1.1000000000000001</v>
      </c>
      <c r="E190" s="46">
        <v>120</v>
      </c>
      <c r="F190" s="46">
        <f t="shared" si="0"/>
        <v>132</v>
      </c>
      <c r="G190" s="69" t="s">
        <v>19</v>
      </c>
      <c r="H190" s="45"/>
      <c r="I190" s="46">
        <f t="shared" si="1"/>
        <v>132</v>
      </c>
      <c r="J190" s="45"/>
    </row>
    <row r="191" spans="1:10" ht="15.75" customHeight="1">
      <c r="A191" s="59">
        <v>46219</v>
      </c>
      <c r="B191" s="45"/>
      <c r="C191" s="70" t="s">
        <v>113</v>
      </c>
      <c r="D191" s="40">
        <v>1</v>
      </c>
      <c r="E191" s="43">
        <v>79.900000000000006</v>
      </c>
      <c r="F191" s="43">
        <f t="shared" si="0"/>
        <v>79.900000000000006</v>
      </c>
      <c r="G191" s="69" t="s">
        <v>19</v>
      </c>
      <c r="H191" s="45"/>
      <c r="I191" s="46">
        <f t="shared" si="1"/>
        <v>79.900000000000006</v>
      </c>
      <c r="J191" s="45"/>
    </row>
    <row r="192" spans="1:10" ht="15.75" customHeight="1">
      <c r="A192" s="59">
        <v>46219</v>
      </c>
      <c r="B192" s="45"/>
      <c r="C192" s="41" t="s">
        <v>26</v>
      </c>
      <c r="D192" s="40">
        <v>1.1000000000000001</v>
      </c>
      <c r="E192" s="46">
        <v>120</v>
      </c>
      <c r="F192" s="46">
        <f t="shared" si="0"/>
        <v>132</v>
      </c>
      <c r="G192" s="180" t="s">
        <v>62</v>
      </c>
      <c r="H192" s="45"/>
      <c r="I192" s="46">
        <f t="shared" si="1"/>
        <v>132</v>
      </c>
      <c r="J192" s="45"/>
    </row>
    <row r="193" spans="1:10" ht="15.75" customHeight="1">
      <c r="A193" s="59">
        <v>46219</v>
      </c>
      <c r="B193" s="45"/>
      <c r="C193" s="49" t="s">
        <v>23</v>
      </c>
      <c r="D193" s="40">
        <v>2</v>
      </c>
      <c r="E193" s="46">
        <v>49.9</v>
      </c>
      <c r="F193" s="46">
        <f t="shared" si="0"/>
        <v>99.8</v>
      </c>
      <c r="G193" s="151"/>
      <c r="H193" s="45"/>
      <c r="I193" s="46">
        <f t="shared" si="1"/>
        <v>99.8</v>
      </c>
      <c r="J193" s="45"/>
    </row>
    <row r="194" spans="1:10" ht="15.75" customHeight="1">
      <c r="A194" s="50">
        <v>46220</v>
      </c>
      <c r="B194" s="42" t="s">
        <v>114</v>
      </c>
      <c r="C194" s="41" t="s">
        <v>16</v>
      </c>
      <c r="D194" s="42">
        <v>2</v>
      </c>
      <c r="E194" s="71">
        <v>25</v>
      </c>
      <c r="F194" s="71">
        <f t="shared" si="0"/>
        <v>50</v>
      </c>
      <c r="G194" s="42" t="s">
        <v>19</v>
      </c>
      <c r="H194" s="42"/>
      <c r="I194" s="46">
        <f t="shared" si="1"/>
        <v>50</v>
      </c>
      <c r="J194" s="42"/>
    </row>
    <row r="195" spans="1:10" ht="15.75" customHeight="1">
      <c r="A195" s="50">
        <v>46220</v>
      </c>
      <c r="B195" s="42"/>
      <c r="C195" s="41" t="s">
        <v>16</v>
      </c>
      <c r="D195" s="42">
        <v>1</v>
      </c>
      <c r="E195" s="71">
        <v>29.9</v>
      </c>
      <c r="F195" s="71">
        <f t="shared" si="0"/>
        <v>29.9</v>
      </c>
      <c r="G195" s="42"/>
      <c r="H195" s="42"/>
      <c r="I195" s="46">
        <f t="shared" si="1"/>
        <v>29.9</v>
      </c>
      <c r="J195" s="42"/>
    </row>
    <row r="196" spans="1:10" ht="15.75" customHeight="1">
      <c r="A196" s="50">
        <v>46220</v>
      </c>
      <c r="B196" s="42"/>
      <c r="C196" s="49" t="s">
        <v>23</v>
      </c>
      <c r="D196" s="42">
        <v>1</v>
      </c>
      <c r="E196" s="71">
        <v>49.9</v>
      </c>
      <c r="F196" s="71">
        <f t="shared" si="0"/>
        <v>49.9</v>
      </c>
      <c r="G196" s="42"/>
      <c r="H196" s="42"/>
      <c r="I196" s="46">
        <f t="shared" si="1"/>
        <v>49.9</v>
      </c>
      <c r="J196" s="42"/>
    </row>
    <row r="197" spans="1:10" ht="15.75" customHeight="1">
      <c r="A197" s="156">
        <v>46220</v>
      </c>
      <c r="B197" s="42"/>
      <c r="C197" s="41" t="s">
        <v>16</v>
      </c>
      <c r="D197" s="42">
        <v>1</v>
      </c>
      <c r="E197" s="46">
        <v>25</v>
      </c>
      <c r="F197" s="71">
        <f t="shared" si="0"/>
        <v>25</v>
      </c>
      <c r="G197" s="42"/>
      <c r="H197" s="42"/>
      <c r="I197" s="46">
        <f t="shared" si="1"/>
        <v>25</v>
      </c>
      <c r="J197" s="179" t="s">
        <v>80</v>
      </c>
    </row>
    <row r="198" spans="1:10" ht="15.75" customHeight="1">
      <c r="A198" s="151"/>
      <c r="B198" s="45"/>
      <c r="C198" s="49" t="s">
        <v>23</v>
      </c>
      <c r="D198" s="42">
        <v>0.5</v>
      </c>
      <c r="E198" s="46">
        <v>50</v>
      </c>
      <c r="F198" s="71">
        <f t="shared" si="0"/>
        <v>25</v>
      </c>
      <c r="G198" s="45"/>
      <c r="H198" s="45"/>
      <c r="I198" s="46">
        <f t="shared" si="1"/>
        <v>25</v>
      </c>
      <c r="J198" s="151"/>
    </row>
    <row r="199" spans="1:10" ht="15.75" customHeight="1">
      <c r="A199" s="156">
        <v>46220</v>
      </c>
      <c r="B199" s="42" t="s">
        <v>97</v>
      </c>
      <c r="C199" s="47" t="s">
        <v>27</v>
      </c>
      <c r="D199" s="42">
        <v>1</v>
      </c>
      <c r="E199" s="46">
        <v>55</v>
      </c>
      <c r="F199" s="71">
        <f t="shared" si="0"/>
        <v>55</v>
      </c>
      <c r="G199" s="45"/>
      <c r="H199" s="45"/>
      <c r="I199" s="46">
        <f t="shared" si="1"/>
        <v>55</v>
      </c>
      <c r="J199" s="45"/>
    </row>
    <row r="200" spans="1:10" ht="15.75" customHeight="1">
      <c r="A200" s="151"/>
      <c r="B200" s="42" t="s">
        <v>115</v>
      </c>
      <c r="C200" s="49" t="s">
        <v>23</v>
      </c>
      <c r="D200" s="42">
        <v>0.50900000000000001</v>
      </c>
      <c r="E200" s="46">
        <v>49.9</v>
      </c>
      <c r="F200" s="71">
        <f t="shared" si="0"/>
        <v>25.399100000000001</v>
      </c>
      <c r="G200" s="42" t="s">
        <v>19</v>
      </c>
      <c r="H200" s="45"/>
      <c r="I200" s="46">
        <f t="shared" si="1"/>
        <v>25.399100000000001</v>
      </c>
      <c r="J200" s="45"/>
    </row>
    <row r="201" spans="1:10" ht="15.75" customHeight="1">
      <c r="A201" s="176">
        <v>46220</v>
      </c>
      <c r="B201" s="45"/>
      <c r="C201" s="41" t="s">
        <v>26</v>
      </c>
      <c r="D201" s="42">
        <v>2.12</v>
      </c>
      <c r="E201" s="46">
        <v>120</v>
      </c>
      <c r="F201" s="71">
        <f t="shared" si="0"/>
        <v>254.4</v>
      </c>
      <c r="G201" s="42" t="s">
        <v>62</v>
      </c>
      <c r="H201" s="45"/>
      <c r="I201" s="46">
        <f t="shared" si="1"/>
        <v>254.4</v>
      </c>
      <c r="J201" s="45"/>
    </row>
    <row r="202" spans="1:10" ht="15.75" customHeight="1">
      <c r="A202" s="151"/>
      <c r="B202" s="45"/>
      <c r="C202" s="49" t="s">
        <v>23</v>
      </c>
      <c r="D202" s="42">
        <v>3.06</v>
      </c>
      <c r="E202" s="46">
        <v>49.9</v>
      </c>
      <c r="F202" s="71">
        <f t="shared" si="0"/>
        <v>152.69399999999999</v>
      </c>
      <c r="G202" s="42" t="s">
        <v>62</v>
      </c>
      <c r="H202" s="45"/>
      <c r="I202" s="46">
        <f t="shared" si="1"/>
        <v>152.69399999999999</v>
      </c>
      <c r="J202" s="45"/>
    </row>
    <row r="203" spans="1:10" ht="15.75" customHeight="1">
      <c r="A203" s="156">
        <v>46220</v>
      </c>
      <c r="B203" s="42" t="s">
        <v>50</v>
      </c>
      <c r="C203" s="47" t="s">
        <v>48</v>
      </c>
      <c r="D203" s="42">
        <v>5</v>
      </c>
      <c r="E203" s="46">
        <v>70</v>
      </c>
      <c r="F203" s="71">
        <f t="shared" si="0"/>
        <v>350</v>
      </c>
      <c r="G203" s="42" t="s">
        <v>17</v>
      </c>
      <c r="H203" s="45"/>
      <c r="I203" s="46">
        <f t="shared" si="1"/>
        <v>350</v>
      </c>
      <c r="J203" s="45"/>
    </row>
    <row r="204" spans="1:10" ht="15.75" customHeight="1">
      <c r="A204" s="151"/>
      <c r="B204" s="45"/>
      <c r="C204" s="41" t="s">
        <v>16</v>
      </c>
      <c r="D204" s="42">
        <v>4</v>
      </c>
      <c r="E204" s="46">
        <v>25</v>
      </c>
      <c r="F204" s="71">
        <f t="shared" si="0"/>
        <v>100</v>
      </c>
      <c r="G204" s="42" t="s">
        <v>17</v>
      </c>
      <c r="H204" s="45"/>
      <c r="I204" s="46">
        <f t="shared" si="1"/>
        <v>100</v>
      </c>
      <c r="J204" s="45" t="s">
        <v>109</v>
      </c>
    </row>
    <row r="205" spans="1:10" ht="15.75" customHeight="1">
      <c r="A205" s="40"/>
      <c r="B205" s="45"/>
      <c r="C205" s="45"/>
      <c r="D205" s="45"/>
      <c r="E205" s="45"/>
      <c r="F205" s="71">
        <f t="shared" si="0"/>
        <v>0</v>
      </c>
      <c r="G205" s="45"/>
      <c r="H205" s="45"/>
      <c r="I205" s="46">
        <f t="shared" si="1"/>
        <v>0</v>
      </c>
      <c r="J205" s="45"/>
    </row>
    <row r="206" spans="1:10" ht="15.75" customHeight="1">
      <c r="A206" s="59">
        <v>46227</v>
      </c>
      <c r="B206" s="45"/>
      <c r="C206" s="49" t="s">
        <v>23</v>
      </c>
      <c r="D206" s="42">
        <v>2</v>
      </c>
      <c r="E206" s="46">
        <v>49.9</v>
      </c>
      <c r="F206" s="71">
        <f t="shared" si="0"/>
        <v>99.8</v>
      </c>
      <c r="G206" s="42" t="s">
        <v>19</v>
      </c>
      <c r="H206" s="45"/>
      <c r="I206" s="46">
        <f t="shared" si="1"/>
        <v>99.8</v>
      </c>
      <c r="J206" s="45"/>
    </row>
    <row r="207" spans="1:10" ht="15.75" customHeight="1">
      <c r="A207" s="59">
        <v>46228</v>
      </c>
      <c r="B207" s="155" t="s">
        <v>116</v>
      </c>
      <c r="C207" s="49" t="s">
        <v>23</v>
      </c>
      <c r="D207" s="42">
        <v>1</v>
      </c>
      <c r="E207" s="46">
        <v>49.9</v>
      </c>
      <c r="F207" s="71">
        <f t="shared" si="0"/>
        <v>49.9</v>
      </c>
      <c r="G207" s="42" t="s">
        <v>19</v>
      </c>
      <c r="H207" s="45"/>
      <c r="I207" s="46">
        <f t="shared" si="1"/>
        <v>49.9</v>
      </c>
      <c r="J207" s="45"/>
    </row>
    <row r="208" spans="1:10" ht="15.75" customHeight="1">
      <c r="A208" s="156">
        <v>46228</v>
      </c>
      <c r="B208" s="151"/>
      <c r="C208" s="49" t="s">
        <v>23</v>
      </c>
      <c r="D208" s="42">
        <v>1</v>
      </c>
      <c r="E208" s="46">
        <v>49.9</v>
      </c>
      <c r="F208" s="71">
        <f t="shared" si="0"/>
        <v>49.9</v>
      </c>
      <c r="G208" s="150" t="s">
        <v>19</v>
      </c>
      <c r="H208" s="45"/>
      <c r="I208" s="46">
        <f t="shared" si="1"/>
        <v>49.9</v>
      </c>
      <c r="J208" s="45"/>
    </row>
    <row r="209" spans="1:10" ht="15.75" customHeight="1">
      <c r="A209" s="151"/>
      <c r="B209" s="45"/>
      <c r="C209" s="41" t="s">
        <v>16</v>
      </c>
      <c r="D209" s="42">
        <v>1</v>
      </c>
      <c r="E209" s="46">
        <v>29.9</v>
      </c>
      <c r="F209" s="71">
        <f t="shared" si="0"/>
        <v>29.9</v>
      </c>
      <c r="G209" s="151"/>
      <c r="H209" s="45"/>
      <c r="I209" s="46">
        <f t="shared" si="1"/>
        <v>29.9</v>
      </c>
      <c r="J209" s="45"/>
    </row>
    <row r="210" spans="1:10" ht="15.75" customHeight="1">
      <c r="A210" s="59">
        <v>46229</v>
      </c>
      <c r="B210" s="45"/>
      <c r="C210" s="73" t="s">
        <v>117</v>
      </c>
      <c r="D210" s="42">
        <v>1</v>
      </c>
      <c r="E210" s="46">
        <v>19.899999999999999</v>
      </c>
      <c r="F210" s="71">
        <f t="shared" si="0"/>
        <v>19.899999999999999</v>
      </c>
      <c r="G210" s="42" t="s">
        <v>19</v>
      </c>
      <c r="H210" s="45"/>
      <c r="I210" s="46">
        <f t="shared" si="1"/>
        <v>19.899999999999999</v>
      </c>
      <c r="J210" s="45"/>
    </row>
    <row r="211" spans="1:10" ht="15.75" customHeight="1">
      <c r="A211" s="59">
        <v>46229</v>
      </c>
      <c r="B211" s="42" t="s">
        <v>50</v>
      </c>
      <c r="C211" s="47" t="s">
        <v>48</v>
      </c>
      <c r="D211" s="42">
        <v>2</v>
      </c>
      <c r="E211" s="46">
        <v>70</v>
      </c>
      <c r="F211" s="71">
        <f t="shared" si="0"/>
        <v>140</v>
      </c>
      <c r="G211" s="42" t="s">
        <v>19</v>
      </c>
      <c r="H211" s="45"/>
      <c r="I211" s="46">
        <f t="shared" si="1"/>
        <v>140</v>
      </c>
      <c r="J211" s="45" t="s">
        <v>109</v>
      </c>
    </row>
    <row r="212" spans="1:10" ht="15.75" customHeight="1">
      <c r="A212" s="50">
        <v>46230</v>
      </c>
      <c r="B212" s="42" t="s">
        <v>24</v>
      </c>
      <c r="C212" s="73" t="s">
        <v>117</v>
      </c>
      <c r="D212" s="42">
        <v>1</v>
      </c>
      <c r="E212" s="46">
        <v>19</v>
      </c>
      <c r="F212" s="71">
        <f t="shared" si="0"/>
        <v>19</v>
      </c>
      <c r="G212" s="42" t="s">
        <v>19</v>
      </c>
      <c r="H212" s="45"/>
      <c r="I212" s="46">
        <f t="shared" si="1"/>
        <v>19</v>
      </c>
      <c r="J212" s="45"/>
    </row>
    <row r="213" spans="1:10" ht="15.75" customHeight="1">
      <c r="A213" s="45"/>
      <c r="B213" s="45"/>
      <c r="C213" s="41" t="s">
        <v>26</v>
      </c>
      <c r="D213" s="42">
        <v>1.1000000000000001</v>
      </c>
      <c r="E213" s="45">
        <v>122.8</v>
      </c>
      <c r="F213" s="71">
        <f t="shared" si="0"/>
        <v>135.08000000000001</v>
      </c>
      <c r="G213" s="42" t="s">
        <v>19</v>
      </c>
      <c r="H213" s="45"/>
      <c r="I213" s="46">
        <f t="shared" si="1"/>
        <v>135.08000000000001</v>
      </c>
      <c r="J213" s="45"/>
    </row>
    <row r="214" spans="1:10" ht="15.75" customHeight="1">
      <c r="A214" s="156">
        <v>46233</v>
      </c>
      <c r="B214" s="74" t="s">
        <v>118</v>
      </c>
      <c r="C214" s="41" t="s">
        <v>16</v>
      </c>
      <c r="D214" s="42">
        <v>4</v>
      </c>
      <c r="E214" s="46">
        <v>25</v>
      </c>
      <c r="F214" s="71">
        <f t="shared" si="0"/>
        <v>100</v>
      </c>
      <c r="G214" s="42" t="s">
        <v>19</v>
      </c>
      <c r="H214" s="45"/>
      <c r="I214" s="46">
        <f t="shared" si="1"/>
        <v>100</v>
      </c>
      <c r="J214" s="179" t="s">
        <v>80</v>
      </c>
    </row>
    <row r="215" spans="1:10" ht="15.75" customHeight="1">
      <c r="A215" s="157"/>
      <c r="B215" s="75"/>
      <c r="C215" s="49" t="s">
        <v>23</v>
      </c>
      <c r="D215" s="42">
        <v>2</v>
      </c>
      <c r="E215" s="46">
        <v>50</v>
      </c>
      <c r="F215" s="71">
        <f t="shared" si="0"/>
        <v>100</v>
      </c>
      <c r="G215" s="42" t="s">
        <v>19</v>
      </c>
      <c r="H215" s="45"/>
      <c r="I215" s="46">
        <f t="shared" si="1"/>
        <v>100</v>
      </c>
      <c r="J215" s="151"/>
    </row>
    <row r="216" spans="1:10" ht="15.75" customHeight="1">
      <c r="A216" s="157"/>
      <c r="B216" s="155"/>
      <c r="C216" s="41" t="s">
        <v>16</v>
      </c>
      <c r="D216" s="42">
        <v>2</v>
      </c>
      <c r="E216" s="46">
        <v>25</v>
      </c>
      <c r="F216" s="71">
        <f t="shared" si="0"/>
        <v>50</v>
      </c>
      <c r="G216" s="42" t="s">
        <v>19</v>
      </c>
      <c r="H216" s="45"/>
      <c r="I216" s="46">
        <f t="shared" si="1"/>
        <v>50</v>
      </c>
      <c r="J216" s="173" t="s">
        <v>80</v>
      </c>
    </row>
    <row r="217" spans="1:10" ht="15.75" customHeight="1">
      <c r="A217" s="151"/>
      <c r="B217" s="151"/>
      <c r="C217" s="49" t="s">
        <v>23</v>
      </c>
      <c r="D217" s="42">
        <v>1</v>
      </c>
      <c r="E217" s="46">
        <v>50</v>
      </c>
      <c r="F217" s="71">
        <f t="shared" si="0"/>
        <v>50</v>
      </c>
      <c r="G217" s="42" t="s">
        <v>19</v>
      </c>
      <c r="H217" s="45"/>
      <c r="I217" s="46">
        <f t="shared" si="1"/>
        <v>50</v>
      </c>
      <c r="J217" s="151"/>
    </row>
    <row r="218" spans="1:10" ht="15.75" customHeight="1">
      <c r="A218" s="156">
        <v>46233</v>
      </c>
      <c r="B218" s="150" t="s">
        <v>119</v>
      </c>
      <c r="C218" s="41" t="s">
        <v>16</v>
      </c>
      <c r="D218" s="42">
        <v>1</v>
      </c>
      <c r="E218" s="46">
        <v>25</v>
      </c>
      <c r="F218" s="71">
        <f t="shared" si="0"/>
        <v>25</v>
      </c>
      <c r="G218" s="76" t="s">
        <v>19</v>
      </c>
      <c r="H218" s="45"/>
      <c r="I218" s="46">
        <f t="shared" si="1"/>
        <v>25</v>
      </c>
      <c r="J218" s="173" t="s">
        <v>80</v>
      </c>
    </row>
    <row r="219" spans="1:10" ht="15.75" customHeight="1">
      <c r="A219" s="151"/>
      <c r="B219" s="151"/>
      <c r="C219" s="49" t="s">
        <v>23</v>
      </c>
      <c r="D219" s="42">
        <v>0.5</v>
      </c>
      <c r="E219" s="46">
        <v>50</v>
      </c>
      <c r="F219" s="71">
        <f t="shared" si="0"/>
        <v>25</v>
      </c>
      <c r="G219" s="76" t="s">
        <v>19</v>
      </c>
      <c r="H219" s="45"/>
      <c r="I219" s="46">
        <f t="shared" si="1"/>
        <v>25</v>
      </c>
      <c r="J219" s="151"/>
    </row>
    <row r="220" spans="1:10" ht="15.75" customHeight="1">
      <c r="A220" s="59">
        <v>46233</v>
      </c>
      <c r="B220" s="42" t="s">
        <v>64</v>
      </c>
      <c r="C220" s="49" t="s">
        <v>23</v>
      </c>
      <c r="D220" s="42">
        <v>2</v>
      </c>
      <c r="E220" s="46">
        <v>49.9</v>
      </c>
      <c r="F220" s="71">
        <f t="shared" si="0"/>
        <v>99.8</v>
      </c>
      <c r="G220" s="76" t="s">
        <v>19</v>
      </c>
      <c r="H220" s="45"/>
      <c r="I220" s="46">
        <f t="shared" si="1"/>
        <v>99.8</v>
      </c>
      <c r="J220" s="45"/>
    </row>
    <row r="221" spans="1:10" ht="15.75" customHeight="1">
      <c r="A221" s="59">
        <v>46234</v>
      </c>
      <c r="B221" s="42"/>
      <c r="C221" s="49" t="s">
        <v>23</v>
      </c>
      <c r="D221" s="42">
        <v>4</v>
      </c>
      <c r="E221" s="46">
        <v>49.9</v>
      </c>
      <c r="F221" s="71">
        <f t="shared" si="0"/>
        <v>199.6</v>
      </c>
      <c r="G221" s="76" t="s">
        <v>62</v>
      </c>
      <c r="H221" s="45"/>
      <c r="I221" s="46">
        <f t="shared" si="1"/>
        <v>199.6</v>
      </c>
      <c r="J221" s="45"/>
    </row>
    <row r="222" spans="1:10" ht="15.75" customHeight="1">
      <c r="A222" s="59">
        <v>46234</v>
      </c>
      <c r="B222" s="155" t="s">
        <v>120</v>
      </c>
      <c r="C222" s="41" t="s">
        <v>16</v>
      </c>
      <c r="D222" s="42">
        <v>1</v>
      </c>
      <c r="E222" s="46">
        <v>25</v>
      </c>
      <c r="F222" s="71">
        <f t="shared" si="0"/>
        <v>25</v>
      </c>
      <c r="G222" s="76" t="s">
        <v>19</v>
      </c>
      <c r="H222" s="45"/>
      <c r="I222" s="46">
        <f t="shared" si="1"/>
        <v>25</v>
      </c>
      <c r="J222" s="173" t="s">
        <v>80</v>
      </c>
    </row>
    <row r="223" spans="1:10" ht="15.75" customHeight="1">
      <c r="A223" s="59">
        <v>46234</v>
      </c>
      <c r="B223" s="151"/>
      <c r="C223" s="49" t="s">
        <v>23</v>
      </c>
      <c r="D223" s="42">
        <v>0.5</v>
      </c>
      <c r="E223" s="46">
        <v>50</v>
      </c>
      <c r="F223" s="71">
        <f t="shared" si="0"/>
        <v>25</v>
      </c>
      <c r="G223" s="76" t="s">
        <v>19</v>
      </c>
      <c r="H223" s="45"/>
      <c r="I223" s="46">
        <f t="shared" si="1"/>
        <v>25</v>
      </c>
      <c r="J223" s="151"/>
    </row>
    <row r="224" spans="1:10" ht="15.75" customHeight="1">
      <c r="A224" s="156">
        <v>46234</v>
      </c>
      <c r="B224" s="155" t="s">
        <v>121</v>
      </c>
      <c r="C224" s="41" t="s">
        <v>16</v>
      </c>
      <c r="D224" s="42">
        <v>2</v>
      </c>
      <c r="E224" s="46">
        <v>25</v>
      </c>
      <c r="F224" s="71">
        <f t="shared" si="0"/>
        <v>50</v>
      </c>
      <c r="G224" s="76" t="s">
        <v>19</v>
      </c>
      <c r="H224" s="45"/>
      <c r="I224" s="46">
        <f t="shared" si="1"/>
        <v>50</v>
      </c>
      <c r="J224" s="173" t="s">
        <v>80</v>
      </c>
    </row>
    <row r="225" spans="1:10" ht="15.75" customHeight="1">
      <c r="A225" s="151"/>
      <c r="B225" s="151"/>
      <c r="C225" s="49" t="s">
        <v>23</v>
      </c>
      <c r="D225" s="42">
        <v>1</v>
      </c>
      <c r="E225" s="46">
        <v>50</v>
      </c>
      <c r="F225" s="71">
        <f t="shared" si="0"/>
        <v>50</v>
      </c>
      <c r="G225" s="76" t="s">
        <v>19</v>
      </c>
      <c r="H225" s="45"/>
      <c r="I225" s="46">
        <f t="shared" si="1"/>
        <v>50</v>
      </c>
      <c r="J225" s="151"/>
    </row>
    <row r="226" spans="1:10" ht="15.75" customHeight="1">
      <c r="A226" s="39">
        <v>46234</v>
      </c>
      <c r="B226" s="42" t="s">
        <v>50</v>
      </c>
      <c r="C226" s="45" t="s">
        <v>113</v>
      </c>
      <c r="D226" s="42">
        <v>2</v>
      </c>
      <c r="E226" s="46">
        <v>70</v>
      </c>
      <c r="F226" s="71">
        <f t="shared" si="0"/>
        <v>140</v>
      </c>
      <c r="G226" s="76" t="s">
        <v>17</v>
      </c>
      <c r="H226" s="45"/>
      <c r="I226" s="46">
        <f t="shared" si="1"/>
        <v>140</v>
      </c>
      <c r="J226" s="45"/>
    </row>
    <row r="227" spans="1:10" ht="15.75" customHeight="1">
      <c r="A227" s="152">
        <v>46234</v>
      </c>
      <c r="B227" s="155"/>
      <c r="C227" s="41" t="s">
        <v>16</v>
      </c>
      <c r="D227" s="42">
        <v>1</v>
      </c>
      <c r="E227" s="46">
        <v>25</v>
      </c>
      <c r="F227" s="71">
        <f t="shared" si="0"/>
        <v>25</v>
      </c>
      <c r="G227" s="186" t="s">
        <v>19</v>
      </c>
      <c r="H227" s="45"/>
      <c r="I227" s="77">
        <f t="shared" si="1"/>
        <v>25</v>
      </c>
      <c r="J227" s="173" t="s">
        <v>80</v>
      </c>
    </row>
    <row r="228" spans="1:10" ht="15.75" customHeight="1">
      <c r="A228" s="153"/>
      <c r="B228" s="151"/>
      <c r="C228" s="49" t="s">
        <v>23</v>
      </c>
      <c r="D228" s="42">
        <v>0.5</v>
      </c>
      <c r="E228" s="46">
        <v>50</v>
      </c>
      <c r="F228" s="71">
        <f t="shared" si="0"/>
        <v>25</v>
      </c>
      <c r="G228" s="151"/>
      <c r="H228" s="45"/>
      <c r="I228" s="77">
        <f t="shared" si="1"/>
        <v>25</v>
      </c>
      <c r="J228" s="151"/>
    </row>
    <row r="229" spans="1:10" ht="15.75" customHeight="1">
      <c r="A229" s="154"/>
      <c r="B229" s="155"/>
      <c r="C229" s="41" t="s">
        <v>16</v>
      </c>
      <c r="D229" s="42">
        <v>1</v>
      </c>
      <c r="E229" s="46">
        <v>25</v>
      </c>
      <c r="F229" s="71">
        <f t="shared" si="0"/>
        <v>25</v>
      </c>
      <c r="G229" s="186" t="s">
        <v>62</v>
      </c>
      <c r="H229" s="45"/>
      <c r="I229" s="77">
        <f t="shared" si="1"/>
        <v>25</v>
      </c>
      <c r="J229" s="173" t="s">
        <v>80</v>
      </c>
    </row>
    <row r="230" spans="1:10" ht="15.75" customHeight="1">
      <c r="A230" s="39">
        <v>46234</v>
      </c>
      <c r="B230" s="151"/>
      <c r="C230" s="78" t="s">
        <v>23</v>
      </c>
      <c r="D230" s="74">
        <v>0.5</v>
      </c>
      <c r="E230" s="79">
        <v>50</v>
      </c>
      <c r="F230" s="71">
        <f t="shared" si="0"/>
        <v>25</v>
      </c>
      <c r="G230" s="151"/>
      <c r="H230" s="45"/>
      <c r="I230" s="46">
        <f t="shared" si="1"/>
        <v>25</v>
      </c>
      <c r="J230" s="174"/>
    </row>
    <row r="231" spans="1:10" ht="15.75" customHeight="1">
      <c r="A231" s="39">
        <v>46234</v>
      </c>
      <c r="B231" s="45"/>
      <c r="C231" s="41" t="s">
        <v>16</v>
      </c>
      <c r="D231" s="42">
        <v>1</v>
      </c>
      <c r="E231" s="46">
        <v>29.9</v>
      </c>
      <c r="F231" s="71">
        <f t="shared" si="0"/>
        <v>29.9</v>
      </c>
      <c r="G231" s="76" t="s">
        <v>17</v>
      </c>
      <c r="H231" s="45"/>
      <c r="I231" s="46">
        <f t="shared" si="1"/>
        <v>29.9</v>
      </c>
      <c r="J231" s="45"/>
    </row>
    <row r="232" spans="1:10" ht="15.75" customHeight="1">
      <c r="A232" s="39">
        <v>46234</v>
      </c>
      <c r="B232" s="45"/>
      <c r="C232" s="78" t="s">
        <v>23</v>
      </c>
      <c r="D232" s="42">
        <v>1</v>
      </c>
      <c r="E232" s="46">
        <v>49.9</v>
      </c>
      <c r="F232" s="71">
        <f t="shared" si="0"/>
        <v>49.9</v>
      </c>
      <c r="G232" s="76" t="s">
        <v>19</v>
      </c>
      <c r="H232" s="45"/>
      <c r="I232" s="46">
        <f t="shared" si="1"/>
        <v>49.9</v>
      </c>
      <c r="J232" s="45"/>
    </row>
    <row r="233" spans="1:10" ht="15.75" customHeight="1">
      <c r="A233" s="156">
        <v>46234</v>
      </c>
      <c r="B233" s="45"/>
      <c r="C233" s="41" t="s">
        <v>16</v>
      </c>
      <c r="D233" s="42">
        <v>2</v>
      </c>
      <c r="E233" s="46">
        <v>29.9</v>
      </c>
      <c r="F233" s="71">
        <f t="shared" si="0"/>
        <v>59.8</v>
      </c>
      <c r="G233" s="76" t="s">
        <v>19</v>
      </c>
      <c r="H233" s="45"/>
      <c r="I233" s="46">
        <f t="shared" si="1"/>
        <v>59.8</v>
      </c>
      <c r="J233" s="45"/>
    </row>
    <row r="234" spans="1:10" ht="15.75" customHeight="1">
      <c r="A234" s="157"/>
      <c r="B234" s="150" t="s">
        <v>116</v>
      </c>
      <c r="C234" s="41" t="s">
        <v>16</v>
      </c>
      <c r="D234" s="42">
        <v>1</v>
      </c>
      <c r="E234" s="46">
        <v>25</v>
      </c>
      <c r="F234" s="71">
        <f t="shared" si="0"/>
        <v>25</v>
      </c>
      <c r="G234" s="186" t="s">
        <v>19</v>
      </c>
      <c r="H234" s="45"/>
      <c r="I234" s="46">
        <f t="shared" si="1"/>
        <v>25</v>
      </c>
      <c r="J234" s="173" t="s">
        <v>80</v>
      </c>
    </row>
    <row r="235" spans="1:10" ht="15.75" customHeight="1">
      <c r="A235" s="157"/>
      <c r="B235" s="151"/>
      <c r="C235" s="78" t="s">
        <v>23</v>
      </c>
      <c r="D235" s="74">
        <v>0.5</v>
      </c>
      <c r="E235" s="79">
        <v>50</v>
      </c>
      <c r="F235" s="71">
        <f t="shared" si="0"/>
        <v>25</v>
      </c>
      <c r="G235" s="151"/>
      <c r="H235" s="45"/>
      <c r="I235" s="46">
        <f t="shared" si="1"/>
        <v>25</v>
      </c>
      <c r="J235" s="174"/>
    </row>
    <row r="236" spans="1:10" ht="15.75" customHeight="1">
      <c r="A236" s="151"/>
      <c r="B236" s="45"/>
      <c r="C236" s="41" t="s">
        <v>16</v>
      </c>
      <c r="D236" s="42">
        <v>1</v>
      </c>
      <c r="E236" s="46">
        <v>29.9</v>
      </c>
      <c r="F236" s="71">
        <f t="shared" si="0"/>
        <v>29.9</v>
      </c>
      <c r="G236" s="76"/>
      <c r="H236" s="45"/>
      <c r="I236" s="46">
        <f t="shared" si="1"/>
        <v>29.9</v>
      </c>
      <c r="J236" s="45"/>
    </row>
    <row r="237" spans="1:10" ht="15.75" customHeight="1">
      <c r="A237" s="156">
        <v>46234</v>
      </c>
      <c r="B237" s="45"/>
      <c r="C237" s="45" t="s">
        <v>70</v>
      </c>
      <c r="D237" s="42">
        <v>1</v>
      </c>
      <c r="E237" s="46">
        <v>19.899999999999999</v>
      </c>
      <c r="F237" s="71">
        <f t="shared" si="0"/>
        <v>19.899999999999999</v>
      </c>
      <c r="G237" s="76" t="s">
        <v>17</v>
      </c>
      <c r="H237" s="45"/>
      <c r="I237" s="46">
        <f t="shared" si="1"/>
        <v>19.899999999999999</v>
      </c>
      <c r="J237" s="45"/>
    </row>
    <row r="238" spans="1:10" ht="15.75" customHeight="1">
      <c r="A238" s="157"/>
      <c r="B238" s="40" t="s">
        <v>33</v>
      </c>
      <c r="C238" s="41" t="s">
        <v>16</v>
      </c>
      <c r="D238" s="42">
        <v>2</v>
      </c>
      <c r="E238" s="46">
        <v>25</v>
      </c>
      <c r="F238" s="71">
        <f t="shared" si="0"/>
        <v>50</v>
      </c>
      <c r="G238" s="76"/>
      <c r="H238" s="45"/>
      <c r="I238" s="46">
        <f t="shared" si="1"/>
        <v>50</v>
      </c>
      <c r="J238" s="173" t="s">
        <v>80</v>
      </c>
    </row>
    <row r="239" spans="1:10" ht="15.75" customHeight="1">
      <c r="A239" s="157"/>
      <c r="B239" s="40"/>
      <c r="C239" s="78" t="s">
        <v>23</v>
      </c>
      <c r="D239" s="74">
        <v>1</v>
      </c>
      <c r="E239" s="46">
        <v>50</v>
      </c>
      <c r="F239" s="71">
        <f t="shared" si="0"/>
        <v>50</v>
      </c>
      <c r="G239" s="76"/>
      <c r="H239" s="45"/>
      <c r="I239" s="46">
        <f t="shared" si="1"/>
        <v>50</v>
      </c>
      <c r="J239" s="174"/>
    </row>
    <row r="240" spans="1:10" ht="15.75" customHeight="1">
      <c r="A240" s="151"/>
      <c r="B240" s="150" t="s">
        <v>122</v>
      </c>
      <c r="C240" s="41" t="s">
        <v>16</v>
      </c>
      <c r="D240" s="42">
        <v>1</v>
      </c>
      <c r="E240" s="46">
        <v>25</v>
      </c>
      <c r="F240" s="71">
        <f t="shared" si="0"/>
        <v>25</v>
      </c>
      <c r="G240" s="76"/>
      <c r="H240" s="45"/>
      <c r="I240" s="46">
        <f t="shared" si="1"/>
        <v>25</v>
      </c>
      <c r="J240" s="173" t="s">
        <v>80</v>
      </c>
    </row>
    <row r="241" spans="1:10" ht="15.75" customHeight="1">
      <c r="A241" s="156">
        <v>46234</v>
      </c>
      <c r="B241" s="151"/>
      <c r="C241" s="78" t="s">
        <v>23</v>
      </c>
      <c r="D241" s="74">
        <v>0.5</v>
      </c>
      <c r="E241" s="79">
        <v>50</v>
      </c>
      <c r="F241" s="71">
        <f t="shared" si="0"/>
        <v>25</v>
      </c>
      <c r="G241" s="76"/>
      <c r="H241" s="45"/>
      <c r="I241" s="46">
        <f t="shared" si="1"/>
        <v>25</v>
      </c>
      <c r="J241" s="174"/>
    </row>
    <row r="242" spans="1:10" ht="15.75" customHeight="1">
      <c r="A242" s="157"/>
      <c r="B242" s="150" t="s">
        <v>111</v>
      </c>
      <c r="C242" s="41" t="s">
        <v>16</v>
      </c>
      <c r="D242" s="42">
        <v>1</v>
      </c>
      <c r="E242" s="46">
        <v>25</v>
      </c>
      <c r="F242" s="71">
        <f t="shared" si="0"/>
        <v>25</v>
      </c>
      <c r="G242" s="150" t="s">
        <v>19</v>
      </c>
      <c r="H242" s="45"/>
      <c r="I242" s="46">
        <f t="shared" si="1"/>
        <v>25</v>
      </c>
      <c r="J242" s="173" t="s">
        <v>80</v>
      </c>
    </row>
    <row r="243" spans="1:10" ht="15.75" customHeight="1">
      <c r="A243" s="157"/>
      <c r="B243" s="151"/>
      <c r="C243" s="78" t="s">
        <v>23</v>
      </c>
      <c r="D243" s="74">
        <v>0.5</v>
      </c>
      <c r="E243" s="79">
        <v>50</v>
      </c>
      <c r="F243" s="71">
        <f t="shared" si="0"/>
        <v>25</v>
      </c>
      <c r="G243" s="151"/>
      <c r="H243" s="45"/>
      <c r="I243" s="46">
        <f t="shared" si="1"/>
        <v>25</v>
      </c>
      <c r="J243" s="174"/>
    </row>
    <row r="244" spans="1:10" ht="15.75" customHeight="1">
      <c r="A244" s="151"/>
      <c r="B244" s="45"/>
      <c r="C244" s="78" t="s">
        <v>23</v>
      </c>
      <c r="D244" s="40">
        <v>1</v>
      </c>
      <c r="E244" s="46">
        <v>49.9</v>
      </c>
      <c r="F244" s="71">
        <f t="shared" si="0"/>
        <v>49.9</v>
      </c>
      <c r="G244" s="40"/>
      <c r="H244" s="45"/>
      <c r="I244" s="46">
        <f t="shared" si="1"/>
        <v>49.9</v>
      </c>
      <c r="J244" s="45"/>
    </row>
    <row r="245" spans="1:10" ht="15.75" customHeight="1">
      <c r="A245" s="156">
        <v>46234</v>
      </c>
      <c r="B245" s="158" t="s">
        <v>111</v>
      </c>
      <c r="C245" s="41" t="s">
        <v>16</v>
      </c>
      <c r="D245" s="42">
        <v>1</v>
      </c>
      <c r="E245" s="46">
        <v>25</v>
      </c>
      <c r="F245" s="71">
        <f t="shared" si="0"/>
        <v>25</v>
      </c>
      <c r="G245" s="40"/>
      <c r="H245" s="45"/>
      <c r="I245" s="46">
        <f t="shared" si="1"/>
        <v>25</v>
      </c>
      <c r="J245" s="173" t="s">
        <v>80</v>
      </c>
    </row>
    <row r="246" spans="1:10" ht="15.75" customHeight="1">
      <c r="A246" s="157"/>
      <c r="B246" s="151"/>
      <c r="C246" s="78" t="s">
        <v>23</v>
      </c>
      <c r="D246" s="74">
        <v>0.5</v>
      </c>
      <c r="E246" s="79">
        <v>50</v>
      </c>
      <c r="F246" s="71">
        <f t="shared" si="0"/>
        <v>25</v>
      </c>
      <c r="G246" s="40"/>
      <c r="H246" s="45"/>
      <c r="I246" s="46">
        <f t="shared" si="1"/>
        <v>25</v>
      </c>
      <c r="J246" s="174"/>
    </row>
    <row r="247" spans="1:10" ht="15.75" customHeight="1">
      <c r="A247" s="157"/>
      <c r="B247" s="45"/>
      <c r="C247" s="41" t="s">
        <v>16</v>
      </c>
      <c r="D247" s="42">
        <v>1</v>
      </c>
      <c r="E247" s="46">
        <v>29.9</v>
      </c>
      <c r="F247" s="71">
        <f t="shared" si="0"/>
        <v>29.9</v>
      </c>
      <c r="G247" s="40"/>
      <c r="H247" s="45"/>
      <c r="I247" s="46">
        <f t="shared" si="1"/>
        <v>29.9</v>
      </c>
      <c r="J247" s="45"/>
    </row>
    <row r="248" spans="1:10" ht="15.75" customHeight="1">
      <c r="A248" s="151"/>
      <c r="B248" s="40"/>
      <c r="C248" s="78" t="s">
        <v>23</v>
      </c>
      <c r="D248" s="40">
        <v>1</v>
      </c>
      <c r="E248" s="46">
        <v>49.9</v>
      </c>
      <c r="F248" s="71">
        <f t="shared" si="0"/>
        <v>49.9</v>
      </c>
      <c r="G248" s="40"/>
      <c r="H248" s="45"/>
      <c r="I248" s="46">
        <f t="shared" si="1"/>
        <v>49.9</v>
      </c>
      <c r="J248" s="45"/>
    </row>
    <row r="249" spans="1:10" ht="15.75" customHeight="1">
      <c r="A249" s="156">
        <v>46234</v>
      </c>
      <c r="B249" s="40" t="s">
        <v>30</v>
      </c>
      <c r="C249" s="41" t="s">
        <v>16</v>
      </c>
      <c r="D249" s="42">
        <v>1</v>
      </c>
      <c r="E249" s="46">
        <v>25</v>
      </c>
      <c r="F249" s="71">
        <f t="shared" si="0"/>
        <v>25</v>
      </c>
      <c r="G249" s="150" t="s">
        <v>19</v>
      </c>
      <c r="H249" s="45"/>
      <c r="I249" s="46">
        <f t="shared" si="1"/>
        <v>25</v>
      </c>
      <c r="J249" s="172" t="s">
        <v>80</v>
      </c>
    </row>
    <row r="250" spans="1:10" ht="15.75" customHeight="1">
      <c r="A250" s="157"/>
      <c r="B250" s="40"/>
      <c r="C250" s="49" t="s">
        <v>23</v>
      </c>
      <c r="D250" s="42">
        <v>0.5</v>
      </c>
      <c r="E250" s="46">
        <v>50</v>
      </c>
      <c r="F250" s="71">
        <f t="shared" si="0"/>
        <v>25</v>
      </c>
      <c r="G250" s="151"/>
      <c r="H250" s="45"/>
      <c r="I250" s="46">
        <f t="shared" si="1"/>
        <v>25</v>
      </c>
      <c r="J250" s="151"/>
    </row>
    <row r="251" spans="1:10" ht="15.75" customHeight="1">
      <c r="A251" s="157"/>
      <c r="B251" s="40"/>
      <c r="C251" s="41" t="s">
        <v>16</v>
      </c>
      <c r="D251" s="42">
        <v>1</v>
      </c>
      <c r="E251" s="46">
        <v>29.9</v>
      </c>
      <c r="F251" s="71">
        <f t="shared" si="0"/>
        <v>29.9</v>
      </c>
      <c r="G251" s="40" t="s">
        <v>19</v>
      </c>
      <c r="H251" s="45"/>
      <c r="I251" s="46">
        <f t="shared" si="1"/>
        <v>29.9</v>
      </c>
      <c r="J251" s="45"/>
    </row>
    <row r="252" spans="1:10" ht="15.75" customHeight="1">
      <c r="A252" s="151"/>
      <c r="B252" s="40"/>
      <c r="C252" s="41" t="s">
        <v>16</v>
      </c>
      <c r="D252" s="42">
        <v>2</v>
      </c>
      <c r="E252" s="46">
        <v>25</v>
      </c>
      <c r="F252" s="71">
        <f t="shared" si="0"/>
        <v>50</v>
      </c>
      <c r="G252" s="150" t="s">
        <v>19</v>
      </c>
      <c r="H252" s="45"/>
      <c r="I252" s="46">
        <f t="shared" si="1"/>
        <v>50</v>
      </c>
      <c r="J252" s="172" t="s">
        <v>80</v>
      </c>
    </row>
    <row r="253" spans="1:10" ht="15.75" customHeight="1">
      <c r="A253" s="156">
        <v>46234</v>
      </c>
      <c r="B253" s="40"/>
      <c r="C253" s="49" t="s">
        <v>23</v>
      </c>
      <c r="D253" s="42">
        <v>1</v>
      </c>
      <c r="E253" s="46">
        <v>50</v>
      </c>
      <c r="F253" s="71">
        <f t="shared" si="0"/>
        <v>50</v>
      </c>
      <c r="G253" s="151"/>
      <c r="H253" s="45"/>
      <c r="I253" s="46">
        <f t="shared" si="1"/>
        <v>50</v>
      </c>
      <c r="J253" s="151"/>
    </row>
    <row r="254" spans="1:10" ht="15.75" customHeight="1">
      <c r="A254" s="157"/>
      <c r="B254" s="80" t="s">
        <v>123</v>
      </c>
      <c r="C254" s="41" t="s">
        <v>16</v>
      </c>
      <c r="D254" s="40">
        <v>2</v>
      </c>
      <c r="E254" s="46">
        <v>30</v>
      </c>
      <c r="F254" s="71">
        <f t="shared" si="0"/>
        <v>60</v>
      </c>
      <c r="G254" s="150" t="s">
        <v>19</v>
      </c>
      <c r="H254" s="45"/>
      <c r="I254" s="46">
        <f t="shared" si="1"/>
        <v>60</v>
      </c>
      <c r="J254" s="45"/>
    </row>
    <row r="255" spans="1:10" ht="15.75" customHeight="1">
      <c r="A255" s="157"/>
      <c r="B255" s="150" t="s">
        <v>124</v>
      </c>
      <c r="C255" s="49" t="s">
        <v>23</v>
      </c>
      <c r="D255" s="42">
        <v>1</v>
      </c>
      <c r="E255" s="46">
        <v>49.9</v>
      </c>
      <c r="F255" s="46">
        <f t="shared" si="0"/>
        <v>49.9</v>
      </c>
      <c r="G255" s="151"/>
      <c r="H255" s="45"/>
      <c r="I255" s="46">
        <f t="shared" si="1"/>
        <v>49.9</v>
      </c>
      <c r="J255" s="45"/>
    </row>
    <row r="256" spans="1:10" ht="15.75" customHeight="1">
      <c r="A256" s="151"/>
      <c r="B256" s="151"/>
      <c r="C256" s="45" t="s">
        <v>113</v>
      </c>
      <c r="D256" s="42">
        <v>1</v>
      </c>
      <c r="E256" s="46">
        <v>29.9</v>
      </c>
      <c r="F256" s="46">
        <f t="shared" si="0"/>
        <v>29.9</v>
      </c>
      <c r="G256" s="40" t="s">
        <v>19</v>
      </c>
      <c r="H256" s="45"/>
      <c r="I256" s="46">
        <f t="shared" si="1"/>
        <v>29.9</v>
      </c>
      <c r="J256" s="45"/>
    </row>
    <row r="257" spans="1:10" ht="15.75" customHeight="1">
      <c r="A257" s="156">
        <v>46234</v>
      </c>
      <c r="B257" s="150" t="s">
        <v>125</v>
      </c>
      <c r="C257" s="49" t="s">
        <v>23</v>
      </c>
      <c r="D257" s="42">
        <v>1</v>
      </c>
      <c r="E257" s="46">
        <v>49.9</v>
      </c>
      <c r="F257" s="46">
        <f t="shared" si="0"/>
        <v>49.9</v>
      </c>
      <c r="G257" s="40"/>
      <c r="H257" s="45"/>
      <c r="I257" s="46">
        <f t="shared" si="1"/>
        <v>49.9</v>
      </c>
      <c r="J257" s="45"/>
    </row>
    <row r="258" spans="1:10" ht="15.75" customHeight="1">
      <c r="A258" s="157"/>
      <c r="B258" s="151"/>
      <c r="C258" s="45" t="s">
        <v>113</v>
      </c>
      <c r="D258" s="42">
        <v>1</v>
      </c>
      <c r="E258" s="46">
        <v>79.900000000000006</v>
      </c>
      <c r="F258" s="46">
        <f t="shared" si="0"/>
        <v>79.900000000000006</v>
      </c>
      <c r="G258" s="45"/>
      <c r="H258" s="45"/>
      <c r="I258" s="46">
        <f t="shared" si="1"/>
        <v>79.900000000000006</v>
      </c>
      <c r="J258" s="45"/>
    </row>
    <row r="259" spans="1:10" ht="15.75" customHeight="1">
      <c r="A259" s="157"/>
      <c r="B259" s="150" t="s">
        <v>126</v>
      </c>
      <c r="C259" s="49" t="s">
        <v>23</v>
      </c>
      <c r="D259" s="42">
        <v>1</v>
      </c>
      <c r="E259" s="46">
        <v>49.9</v>
      </c>
      <c r="F259" s="46">
        <f t="shared" si="0"/>
        <v>49.9</v>
      </c>
      <c r="G259" s="45"/>
      <c r="H259" s="45"/>
      <c r="I259" s="46">
        <f t="shared" si="1"/>
        <v>49.9</v>
      </c>
      <c r="J259" s="45"/>
    </row>
    <row r="260" spans="1:10" ht="15.75" customHeight="1">
      <c r="A260" s="151"/>
      <c r="B260" s="151"/>
      <c r="C260" s="45" t="s">
        <v>113</v>
      </c>
      <c r="D260" s="42">
        <v>1</v>
      </c>
      <c r="E260" s="46">
        <v>79.900000000000006</v>
      </c>
      <c r="F260" s="46">
        <f t="shared" si="0"/>
        <v>79.900000000000006</v>
      </c>
      <c r="G260" s="45"/>
      <c r="H260" s="45"/>
      <c r="I260" s="46">
        <f t="shared" si="1"/>
        <v>79.900000000000006</v>
      </c>
      <c r="J260" s="45"/>
    </row>
    <row r="261" spans="1:10" ht="15.75" customHeight="1">
      <c r="A261" s="156">
        <v>46234</v>
      </c>
      <c r="B261" s="150" t="s">
        <v>127</v>
      </c>
      <c r="C261" s="49" t="s">
        <v>23</v>
      </c>
      <c r="D261" s="42">
        <v>1</v>
      </c>
      <c r="E261" s="46">
        <v>49.9</v>
      </c>
      <c r="F261" s="46">
        <f t="shared" si="0"/>
        <v>49.9</v>
      </c>
      <c r="G261" s="45"/>
      <c r="H261" s="45"/>
      <c r="I261" s="46">
        <f t="shared" si="1"/>
        <v>49.9</v>
      </c>
      <c r="J261" s="45"/>
    </row>
    <row r="262" spans="1:10" ht="15.75" customHeight="1">
      <c r="A262" s="157"/>
      <c r="B262" s="151"/>
      <c r="C262" s="45" t="s">
        <v>113</v>
      </c>
      <c r="D262" s="42">
        <v>1</v>
      </c>
      <c r="E262" s="46">
        <v>79.900000000000006</v>
      </c>
      <c r="F262" s="46">
        <f t="shared" si="0"/>
        <v>79.900000000000006</v>
      </c>
      <c r="G262" s="45"/>
      <c r="H262" s="45"/>
      <c r="I262" s="46">
        <f t="shared" si="1"/>
        <v>79.900000000000006</v>
      </c>
      <c r="J262" s="45"/>
    </row>
    <row r="263" spans="1:10" ht="15.75" customHeight="1">
      <c r="A263" s="157"/>
      <c r="B263" s="42" t="s">
        <v>128</v>
      </c>
      <c r="C263" s="49" t="s">
        <v>23</v>
      </c>
      <c r="D263" s="42">
        <v>2</v>
      </c>
      <c r="E263" s="46">
        <v>49.9</v>
      </c>
      <c r="F263" s="46">
        <f t="shared" si="0"/>
        <v>99.8</v>
      </c>
      <c r="G263" s="45"/>
      <c r="H263" s="45"/>
      <c r="I263" s="46">
        <f t="shared" si="1"/>
        <v>99.8</v>
      </c>
      <c r="J263" s="45"/>
    </row>
    <row r="264" spans="1:10" ht="15.75" customHeight="1">
      <c r="A264" s="157"/>
      <c r="B264" s="42" t="s">
        <v>129</v>
      </c>
      <c r="C264" s="81" t="s">
        <v>113</v>
      </c>
      <c r="D264" s="42">
        <v>1</v>
      </c>
      <c r="E264" s="46">
        <v>79.900000000000006</v>
      </c>
      <c r="F264" s="46">
        <f t="shared" si="0"/>
        <v>79.900000000000006</v>
      </c>
      <c r="G264" s="45"/>
      <c r="H264" s="45"/>
      <c r="I264" s="46">
        <f t="shared" si="1"/>
        <v>79.900000000000006</v>
      </c>
      <c r="J264" s="45"/>
    </row>
    <row r="265" spans="1:10" ht="15.75" customHeight="1">
      <c r="A265" s="157"/>
      <c r="B265" s="150" t="s">
        <v>130</v>
      </c>
      <c r="C265" s="49" t="s">
        <v>23</v>
      </c>
      <c r="D265" s="42">
        <v>1</v>
      </c>
      <c r="E265" s="46">
        <v>49.9</v>
      </c>
      <c r="F265" s="46">
        <f t="shared" si="0"/>
        <v>49.9</v>
      </c>
      <c r="G265" s="45"/>
      <c r="H265" s="45"/>
      <c r="I265" s="46">
        <f t="shared" si="1"/>
        <v>49.9</v>
      </c>
      <c r="J265" s="45"/>
    </row>
    <row r="266" spans="1:10" ht="15.75" customHeight="1">
      <c r="A266" s="157"/>
      <c r="B266" s="151"/>
      <c r="C266" s="81" t="s">
        <v>113</v>
      </c>
      <c r="D266" s="42">
        <v>1</v>
      </c>
      <c r="E266" s="46">
        <v>79.900000000000006</v>
      </c>
      <c r="F266" s="46">
        <f t="shared" si="0"/>
        <v>79.900000000000006</v>
      </c>
      <c r="G266" s="45"/>
      <c r="H266" s="45"/>
      <c r="I266" s="46">
        <f t="shared" si="1"/>
        <v>79.900000000000006</v>
      </c>
      <c r="J266" s="45"/>
    </row>
    <row r="267" spans="1:10" ht="15.75" customHeight="1">
      <c r="A267" s="157"/>
      <c r="B267" s="150" t="s">
        <v>112</v>
      </c>
      <c r="C267" s="49" t="s">
        <v>23</v>
      </c>
      <c r="D267" s="42">
        <v>1</v>
      </c>
      <c r="E267" s="46">
        <v>45</v>
      </c>
      <c r="F267" s="46">
        <f t="shared" si="0"/>
        <v>45</v>
      </c>
      <c r="G267" s="45"/>
      <c r="H267" s="45"/>
      <c r="I267" s="46">
        <f t="shared" si="1"/>
        <v>45</v>
      </c>
      <c r="J267" s="45"/>
    </row>
    <row r="268" spans="1:10" ht="15.75" customHeight="1">
      <c r="A268" s="151"/>
      <c r="B268" s="151"/>
      <c r="C268" s="81" t="s">
        <v>113</v>
      </c>
      <c r="D268" s="42">
        <v>1</v>
      </c>
      <c r="E268" s="46">
        <v>75</v>
      </c>
      <c r="F268" s="46">
        <f t="shared" si="0"/>
        <v>75</v>
      </c>
      <c r="G268" s="45"/>
      <c r="H268" s="45"/>
      <c r="I268" s="46">
        <f t="shared" si="1"/>
        <v>75</v>
      </c>
      <c r="J268" s="45"/>
    </row>
    <row r="269" spans="1:10" ht="15.75" customHeight="1">
      <c r="A269" s="82">
        <v>46239</v>
      </c>
      <c r="B269" s="83" t="s">
        <v>131</v>
      </c>
      <c r="C269" s="84" t="s">
        <v>23</v>
      </c>
      <c r="D269" s="83">
        <v>1</v>
      </c>
      <c r="E269" s="85">
        <v>49.9</v>
      </c>
      <c r="F269" s="85">
        <f t="shared" si="0"/>
        <v>49.9</v>
      </c>
      <c r="G269" s="83" t="s">
        <v>19</v>
      </c>
      <c r="H269" s="86"/>
      <c r="I269" s="85">
        <f t="shared" si="1"/>
        <v>49.9</v>
      </c>
      <c r="J269" s="86"/>
    </row>
    <row r="270" spans="1:10" ht="15.75" customHeight="1">
      <c r="A270" s="82">
        <v>46239</v>
      </c>
      <c r="B270" s="83" t="s">
        <v>132</v>
      </c>
      <c r="C270" s="84" t="s">
        <v>23</v>
      </c>
      <c r="D270" s="83">
        <v>1</v>
      </c>
      <c r="E270" s="85">
        <v>49.9</v>
      </c>
      <c r="F270" s="85">
        <f t="shared" si="0"/>
        <v>49.9</v>
      </c>
      <c r="G270" s="83" t="s">
        <v>19</v>
      </c>
      <c r="H270" s="86"/>
      <c r="I270" s="85">
        <f t="shared" si="1"/>
        <v>49.9</v>
      </c>
      <c r="J270" s="86"/>
    </row>
    <row r="271" spans="1:10" ht="15.75" customHeight="1">
      <c r="A271" s="82">
        <v>46239</v>
      </c>
      <c r="B271" s="83" t="s">
        <v>50</v>
      </c>
      <c r="C271" s="87" t="s">
        <v>133</v>
      </c>
      <c r="D271" s="83">
        <v>2</v>
      </c>
      <c r="E271" s="85">
        <v>70</v>
      </c>
      <c r="F271" s="85">
        <f t="shared" si="0"/>
        <v>140</v>
      </c>
      <c r="G271" s="83" t="s">
        <v>17</v>
      </c>
      <c r="H271" s="86"/>
      <c r="I271" s="85">
        <f t="shared" si="1"/>
        <v>140</v>
      </c>
      <c r="J271" s="86"/>
    </row>
    <row r="272" spans="1:10" ht="15.75" customHeight="1">
      <c r="A272" s="82">
        <v>46241</v>
      </c>
      <c r="B272" s="83" t="s">
        <v>66</v>
      </c>
      <c r="C272" s="88" t="s">
        <v>16</v>
      </c>
      <c r="D272" s="83">
        <v>2</v>
      </c>
      <c r="E272" s="85">
        <v>25</v>
      </c>
      <c r="F272" s="85">
        <f t="shared" si="0"/>
        <v>50</v>
      </c>
      <c r="G272" s="83"/>
      <c r="H272" s="86"/>
      <c r="I272" s="85">
        <f t="shared" si="1"/>
        <v>50</v>
      </c>
      <c r="J272" s="86"/>
    </row>
    <row r="273" spans="1:10" ht="15.75" customHeight="1">
      <c r="A273" s="160">
        <v>46241</v>
      </c>
      <c r="B273" s="159" t="s">
        <v>134</v>
      </c>
      <c r="C273" s="89" t="s">
        <v>27</v>
      </c>
      <c r="D273" s="83">
        <v>0.5</v>
      </c>
      <c r="E273" s="85">
        <v>70</v>
      </c>
      <c r="F273" s="85">
        <f t="shared" si="0"/>
        <v>35</v>
      </c>
      <c r="G273" s="83"/>
      <c r="H273" s="86"/>
      <c r="I273" s="85">
        <f t="shared" si="1"/>
        <v>35</v>
      </c>
      <c r="J273" s="175" t="s">
        <v>135</v>
      </c>
    </row>
    <row r="274" spans="1:10" ht="15.75" customHeight="1">
      <c r="A274" s="151"/>
      <c r="B274" s="151"/>
      <c r="C274" s="84" t="s">
        <v>23</v>
      </c>
      <c r="D274" s="83">
        <v>0.4</v>
      </c>
      <c r="E274" s="85">
        <v>50</v>
      </c>
      <c r="F274" s="85">
        <f t="shared" si="0"/>
        <v>20</v>
      </c>
      <c r="G274" s="83"/>
      <c r="H274" s="86"/>
      <c r="I274" s="85">
        <f t="shared" si="1"/>
        <v>20</v>
      </c>
      <c r="J274" s="151"/>
    </row>
    <row r="275" spans="1:10" ht="15.75" customHeight="1">
      <c r="A275" s="160">
        <v>46241</v>
      </c>
      <c r="B275" s="83" t="s">
        <v>136</v>
      </c>
      <c r="C275" s="84" t="s">
        <v>23</v>
      </c>
      <c r="D275" s="83">
        <v>1</v>
      </c>
      <c r="E275" s="85">
        <v>49.9</v>
      </c>
      <c r="F275" s="85">
        <f t="shared" si="0"/>
        <v>49.9</v>
      </c>
      <c r="G275" s="83"/>
      <c r="H275" s="86"/>
      <c r="I275" s="85">
        <f t="shared" si="1"/>
        <v>49.9</v>
      </c>
      <c r="J275" s="86"/>
    </row>
    <row r="276" spans="1:10" ht="15.75" customHeight="1">
      <c r="A276" s="151"/>
      <c r="B276" s="83" t="s">
        <v>66</v>
      </c>
      <c r="C276" s="88" t="s">
        <v>16</v>
      </c>
      <c r="D276" s="83">
        <v>4</v>
      </c>
      <c r="E276" s="85">
        <v>25</v>
      </c>
      <c r="F276" s="85">
        <f t="shared" si="0"/>
        <v>100</v>
      </c>
      <c r="G276" s="83" t="s">
        <v>17</v>
      </c>
      <c r="H276" s="86"/>
      <c r="I276" s="85">
        <f t="shared" si="1"/>
        <v>100</v>
      </c>
      <c r="J276" s="86"/>
    </row>
    <row r="277" spans="1:10" ht="15.75" customHeight="1">
      <c r="A277" s="162">
        <v>46242</v>
      </c>
      <c r="B277" s="161" t="s">
        <v>137</v>
      </c>
      <c r="C277" s="89" t="s">
        <v>27</v>
      </c>
      <c r="D277" s="83">
        <v>0.5</v>
      </c>
      <c r="E277" s="85">
        <v>70</v>
      </c>
      <c r="F277" s="85">
        <f t="shared" si="0"/>
        <v>35</v>
      </c>
      <c r="G277" s="161" t="s">
        <v>62</v>
      </c>
      <c r="H277" s="86"/>
      <c r="I277" s="85">
        <f t="shared" si="1"/>
        <v>35</v>
      </c>
      <c r="J277" s="175" t="s">
        <v>135</v>
      </c>
    </row>
    <row r="278" spans="1:10" ht="15.75" customHeight="1">
      <c r="A278" s="151"/>
      <c r="B278" s="151"/>
      <c r="C278" s="84" t="s">
        <v>23</v>
      </c>
      <c r="D278" s="83">
        <v>0.4</v>
      </c>
      <c r="E278" s="85">
        <v>50</v>
      </c>
      <c r="F278" s="85">
        <f t="shared" si="0"/>
        <v>20</v>
      </c>
      <c r="G278" s="151"/>
      <c r="H278" s="86"/>
      <c r="I278" s="85">
        <f t="shared" si="1"/>
        <v>20</v>
      </c>
      <c r="J278" s="151"/>
    </row>
    <row r="279" spans="1:10" ht="15.75" customHeight="1">
      <c r="A279" s="160">
        <v>46242</v>
      </c>
      <c r="B279" s="83" t="s">
        <v>111</v>
      </c>
      <c r="C279" s="84" t="s">
        <v>23</v>
      </c>
      <c r="D279" s="83">
        <v>1</v>
      </c>
      <c r="E279" s="85">
        <v>49.9</v>
      </c>
      <c r="F279" s="85">
        <f t="shared" si="0"/>
        <v>49.9</v>
      </c>
      <c r="G279" s="83"/>
      <c r="H279" s="86"/>
      <c r="I279" s="85">
        <f t="shared" si="1"/>
        <v>49.9</v>
      </c>
      <c r="J279" s="86"/>
    </row>
    <row r="280" spans="1:10" ht="15.75" customHeight="1">
      <c r="A280" s="157"/>
      <c r="B280" s="159" t="s">
        <v>138</v>
      </c>
      <c r="C280" s="89" t="s">
        <v>27</v>
      </c>
      <c r="D280" s="83">
        <v>0.5</v>
      </c>
      <c r="E280" s="85">
        <v>70</v>
      </c>
      <c r="F280" s="85">
        <f t="shared" si="0"/>
        <v>35</v>
      </c>
      <c r="G280" s="161" t="s">
        <v>19</v>
      </c>
      <c r="H280" s="86"/>
      <c r="I280" s="85">
        <f t="shared" si="1"/>
        <v>35</v>
      </c>
      <c r="J280" s="175" t="s">
        <v>135</v>
      </c>
    </row>
    <row r="281" spans="1:10" ht="15.75" customHeight="1">
      <c r="A281" s="151"/>
      <c r="B281" s="151"/>
      <c r="C281" s="84" t="s">
        <v>23</v>
      </c>
      <c r="D281" s="83">
        <v>0.4</v>
      </c>
      <c r="E281" s="85">
        <v>50</v>
      </c>
      <c r="F281" s="85">
        <f t="shared" si="0"/>
        <v>20</v>
      </c>
      <c r="G281" s="151"/>
      <c r="H281" s="86"/>
      <c r="I281" s="85">
        <f t="shared" si="1"/>
        <v>20</v>
      </c>
      <c r="J281" s="151"/>
    </row>
    <row r="282" spans="1:10" ht="15.75" customHeight="1">
      <c r="A282" s="160">
        <v>46243</v>
      </c>
      <c r="B282" s="83"/>
      <c r="C282" s="84" t="s">
        <v>23</v>
      </c>
      <c r="D282" s="83">
        <v>3</v>
      </c>
      <c r="E282" s="85">
        <v>49.9</v>
      </c>
      <c r="F282" s="85">
        <f t="shared" si="0"/>
        <v>149.69999999999999</v>
      </c>
      <c r="G282" s="159" t="s">
        <v>62</v>
      </c>
      <c r="H282" s="86"/>
      <c r="I282" s="85">
        <f t="shared" si="1"/>
        <v>149.69999999999999</v>
      </c>
      <c r="J282" s="86"/>
    </row>
    <row r="283" spans="1:10" ht="15.75" customHeight="1">
      <c r="A283" s="157"/>
      <c r="B283" s="86"/>
      <c r="C283" s="88" t="s">
        <v>26</v>
      </c>
      <c r="D283" s="83">
        <v>1.4</v>
      </c>
      <c r="E283" s="85">
        <v>126.42</v>
      </c>
      <c r="F283" s="85">
        <f t="shared" si="0"/>
        <v>176.988</v>
      </c>
      <c r="G283" s="157"/>
      <c r="H283" s="86"/>
      <c r="I283" s="85">
        <f t="shared" si="1"/>
        <v>176.988</v>
      </c>
      <c r="J283" s="86"/>
    </row>
    <row r="284" spans="1:10" ht="15.75" customHeight="1">
      <c r="A284" s="157"/>
      <c r="B284" s="86"/>
      <c r="C284" s="90" t="s">
        <v>139</v>
      </c>
      <c r="D284" s="83">
        <v>10</v>
      </c>
      <c r="E284" s="85">
        <v>1.29</v>
      </c>
      <c r="F284" s="85">
        <f t="shared" si="0"/>
        <v>12.9</v>
      </c>
      <c r="G284" s="151"/>
      <c r="H284" s="86"/>
      <c r="I284" s="85">
        <f t="shared" si="1"/>
        <v>12.9</v>
      </c>
      <c r="J284" s="86"/>
    </row>
    <row r="285" spans="1:10" ht="15.75" customHeight="1">
      <c r="A285" s="157"/>
      <c r="B285" s="86"/>
      <c r="C285" s="88" t="s">
        <v>16</v>
      </c>
      <c r="D285" s="83">
        <v>1</v>
      </c>
      <c r="E285" s="85">
        <v>29.9</v>
      </c>
      <c r="F285" s="85">
        <f t="shared" si="0"/>
        <v>29.9</v>
      </c>
      <c r="G285" s="86"/>
      <c r="H285" s="86"/>
      <c r="I285" s="85">
        <f t="shared" si="1"/>
        <v>29.9</v>
      </c>
      <c r="J285" s="86"/>
    </row>
    <row r="286" spans="1:10" ht="15.75" customHeight="1">
      <c r="A286" s="151"/>
      <c r="B286" s="163" t="s">
        <v>140</v>
      </c>
      <c r="C286" s="89" t="s">
        <v>27</v>
      </c>
      <c r="D286" s="83">
        <v>0.5</v>
      </c>
      <c r="E286" s="85">
        <v>70</v>
      </c>
      <c r="F286" s="85">
        <f t="shared" si="0"/>
        <v>35</v>
      </c>
      <c r="G286" s="161" t="s">
        <v>19</v>
      </c>
      <c r="H286" s="86"/>
      <c r="I286" s="85">
        <f t="shared" si="1"/>
        <v>35</v>
      </c>
      <c r="J286" s="175" t="s">
        <v>135</v>
      </c>
    </row>
    <row r="287" spans="1:10" ht="15.75" customHeight="1">
      <c r="A287" s="164">
        <v>46243</v>
      </c>
      <c r="B287" s="151"/>
      <c r="C287" s="84" t="s">
        <v>23</v>
      </c>
      <c r="D287" s="83">
        <v>0.4</v>
      </c>
      <c r="E287" s="85">
        <v>50</v>
      </c>
      <c r="F287" s="85">
        <f t="shared" si="0"/>
        <v>20</v>
      </c>
      <c r="G287" s="151"/>
      <c r="H287" s="86"/>
      <c r="I287" s="85">
        <f t="shared" si="1"/>
        <v>20</v>
      </c>
      <c r="J287" s="151"/>
    </row>
    <row r="288" spans="1:10" ht="15.75" customHeight="1">
      <c r="A288" s="157"/>
      <c r="B288" s="161" t="s">
        <v>141</v>
      </c>
      <c r="C288" s="89" t="s">
        <v>27</v>
      </c>
      <c r="D288" s="83">
        <v>0.5</v>
      </c>
      <c r="E288" s="85">
        <v>70</v>
      </c>
      <c r="F288" s="85">
        <f t="shared" si="0"/>
        <v>35</v>
      </c>
      <c r="G288" s="161" t="s">
        <v>19</v>
      </c>
      <c r="H288" s="86"/>
      <c r="I288" s="85">
        <f t="shared" si="1"/>
        <v>35</v>
      </c>
      <c r="J288" s="175" t="s">
        <v>135</v>
      </c>
    </row>
    <row r="289" spans="1:10" ht="15.75" customHeight="1">
      <c r="A289" s="157"/>
      <c r="B289" s="151"/>
      <c r="C289" s="84" t="s">
        <v>23</v>
      </c>
      <c r="D289" s="83">
        <v>0.4</v>
      </c>
      <c r="E289" s="85">
        <v>50</v>
      </c>
      <c r="F289" s="85">
        <f t="shared" si="0"/>
        <v>20</v>
      </c>
      <c r="G289" s="151"/>
      <c r="H289" s="86"/>
      <c r="I289" s="85">
        <f t="shared" si="1"/>
        <v>20</v>
      </c>
      <c r="J289" s="151"/>
    </row>
    <row r="290" spans="1:10" ht="15.75" customHeight="1">
      <c r="A290" s="151"/>
      <c r="B290" s="83" t="s">
        <v>142</v>
      </c>
      <c r="C290" s="88" t="s">
        <v>16</v>
      </c>
      <c r="D290" s="83">
        <v>1</v>
      </c>
      <c r="E290" s="85">
        <v>29.9</v>
      </c>
      <c r="F290" s="85">
        <f t="shared" si="0"/>
        <v>29.9</v>
      </c>
      <c r="G290" s="86"/>
      <c r="H290" s="86"/>
      <c r="I290" s="85">
        <f t="shared" si="1"/>
        <v>29.9</v>
      </c>
      <c r="J290" s="86"/>
    </row>
    <row r="291" spans="1:10" ht="15.75" customHeight="1">
      <c r="A291" s="160">
        <v>46243</v>
      </c>
      <c r="B291" s="161" t="s">
        <v>143</v>
      </c>
      <c r="C291" s="89" t="s">
        <v>27</v>
      </c>
      <c r="D291" s="83">
        <v>0.5</v>
      </c>
      <c r="E291" s="85">
        <v>70</v>
      </c>
      <c r="F291" s="85">
        <f t="shared" si="0"/>
        <v>35</v>
      </c>
      <c r="G291" s="161" t="s">
        <v>19</v>
      </c>
      <c r="H291" s="86"/>
      <c r="I291" s="85">
        <f t="shared" si="1"/>
        <v>35</v>
      </c>
      <c r="J291" s="175" t="s">
        <v>135</v>
      </c>
    </row>
    <row r="292" spans="1:10" ht="15.75" customHeight="1">
      <c r="A292" s="157"/>
      <c r="B292" s="151"/>
      <c r="C292" s="84" t="s">
        <v>23</v>
      </c>
      <c r="D292" s="83">
        <v>0.4</v>
      </c>
      <c r="E292" s="85">
        <v>50</v>
      </c>
      <c r="F292" s="85">
        <f t="shared" si="0"/>
        <v>20</v>
      </c>
      <c r="G292" s="151"/>
      <c r="H292" s="86"/>
      <c r="I292" s="85">
        <f t="shared" si="1"/>
        <v>20</v>
      </c>
      <c r="J292" s="151"/>
    </row>
    <row r="293" spans="1:10" ht="15.75" customHeight="1">
      <c r="A293" s="157"/>
      <c r="B293" s="83" t="s">
        <v>50</v>
      </c>
      <c r="C293" s="87" t="s">
        <v>133</v>
      </c>
      <c r="D293" s="83">
        <v>3</v>
      </c>
      <c r="E293" s="85">
        <v>70</v>
      </c>
      <c r="F293" s="85">
        <f t="shared" si="0"/>
        <v>210</v>
      </c>
      <c r="G293" s="86"/>
      <c r="H293" s="86"/>
      <c r="I293" s="85">
        <f t="shared" si="1"/>
        <v>210</v>
      </c>
      <c r="J293" s="86"/>
    </row>
    <row r="294" spans="1:10" ht="15.75" customHeight="1">
      <c r="A294" s="157"/>
      <c r="B294" s="86"/>
      <c r="C294" s="88" t="s">
        <v>16</v>
      </c>
      <c r="D294" s="83">
        <v>1</v>
      </c>
      <c r="E294" s="85">
        <v>29.9</v>
      </c>
      <c r="F294" s="85">
        <f t="shared" si="0"/>
        <v>29.9</v>
      </c>
      <c r="G294" s="86"/>
      <c r="H294" s="86"/>
      <c r="I294" s="85">
        <f t="shared" si="1"/>
        <v>29.9</v>
      </c>
      <c r="J294" s="86"/>
    </row>
    <row r="295" spans="1:10" ht="15.75" customHeight="1">
      <c r="A295" s="157"/>
      <c r="B295" s="159" t="s">
        <v>24</v>
      </c>
      <c r="C295" s="89" t="s">
        <v>27</v>
      </c>
      <c r="D295" s="83">
        <v>0.5</v>
      </c>
      <c r="E295" s="85">
        <v>70</v>
      </c>
      <c r="F295" s="85">
        <f t="shared" si="0"/>
        <v>35</v>
      </c>
      <c r="G295" s="86"/>
      <c r="H295" s="86"/>
      <c r="I295" s="85">
        <f t="shared" si="1"/>
        <v>35</v>
      </c>
      <c r="J295" s="175" t="s">
        <v>135</v>
      </c>
    </row>
    <row r="296" spans="1:10" ht="15.75" customHeight="1">
      <c r="A296" s="151"/>
      <c r="B296" s="151"/>
      <c r="C296" s="84" t="s">
        <v>23</v>
      </c>
      <c r="D296" s="83">
        <v>0.4</v>
      </c>
      <c r="E296" s="85">
        <v>50</v>
      </c>
      <c r="F296" s="85">
        <f t="shared" si="0"/>
        <v>20</v>
      </c>
      <c r="G296" s="86"/>
      <c r="H296" s="86"/>
      <c r="I296" s="85">
        <f t="shared" si="1"/>
        <v>20</v>
      </c>
      <c r="J296" s="151"/>
    </row>
    <row r="297" spans="1:10" ht="15.75" customHeight="1">
      <c r="A297" s="162">
        <v>46243</v>
      </c>
      <c r="B297" s="161" t="s">
        <v>144</v>
      </c>
      <c r="C297" s="89" t="s">
        <v>27</v>
      </c>
      <c r="D297" s="83">
        <v>1</v>
      </c>
      <c r="E297" s="85">
        <v>70</v>
      </c>
      <c r="F297" s="85">
        <f t="shared" si="0"/>
        <v>70</v>
      </c>
      <c r="G297" s="86"/>
      <c r="H297" s="86"/>
      <c r="I297" s="85">
        <f t="shared" si="1"/>
        <v>70</v>
      </c>
      <c r="J297" s="187" t="s">
        <v>145</v>
      </c>
    </row>
    <row r="298" spans="1:10" ht="15.75" customHeight="1">
      <c r="A298" s="151"/>
      <c r="B298" s="151"/>
      <c r="C298" s="84" t="s">
        <v>23</v>
      </c>
      <c r="D298" s="83">
        <v>0.8</v>
      </c>
      <c r="E298" s="85">
        <v>50</v>
      </c>
      <c r="F298" s="85">
        <f t="shared" si="0"/>
        <v>40</v>
      </c>
      <c r="G298" s="83"/>
      <c r="H298" s="86"/>
      <c r="I298" s="85">
        <f t="shared" si="1"/>
        <v>40</v>
      </c>
      <c r="J298" s="151"/>
    </row>
    <row r="299" spans="1:10" ht="15.75" customHeight="1">
      <c r="A299" s="162">
        <v>46243</v>
      </c>
      <c r="B299" s="159" t="s">
        <v>111</v>
      </c>
      <c r="C299" s="91" t="s">
        <v>27</v>
      </c>
      <c r="D299" s="83">
        <v>0.5</v>
      </c>
      <c r="E299" s="85">
        <v>70</v>
      </c>
      <c r="F299" s="85">
        <f t="shared" si="0"/>
        <v>35</v>
      </c>
      <c r="G299" s="83"/>
      <c r="H299" s="86"/>
      <c r="I299" s="85">
        <f t="shared" si="1"/>
        <v>35</v>
      </c>
      <c r="J299" s="175" t="s">
        <v>135</v>
      </c>
    </row>
    <row r="300" spans="1:10" ht="15.75" customHeight="1">
      <c r="A300" s="151"/>
      <c r="B300" s="151"/>
      <c r="C300" s="84" t="s">
        <v>23</v>
      </c>
      <c r="D300" s="83">
        <v>0.4</v>
      </c>
      <c r="E300" s="85">
        <v>50</v>
      </c>
      <c r="F300" s="85">
        <f t="shared" si="0"/>
        <v>20</v>
      </c>
      <c r="G300" s="83"/>
      <c r="H300" s="86"/>
      <c r="I300" s="85">
        <f t="shared" si="1"/>
        <v>20</v>
      </c>
      <c r="J300" s="151"/>
    </row>
    <row r="301" spans="1:10" ht="15.75" customHeight="1">
      <c r="A301" s="162">
        <v>46243</v>
      </c>
      <c r="B301" s="161" t="s">
        <v>146</v>
      </c>
      <c r="C301" s="91" t="s">
        <v>27</v>
      </c>
      <c r="D301" s="83">
        <v>0.5</v>
      </c>
      <c r="E301" s="85">
        <v>70</v>
      </c>
      <c r="F301" s="85">
        <f t="shared" si="0"/>
        <v>35</v>
      </c>
      <c r="G301" s="83"/>
      <c r="H301" s="86"/>
      <c r="I301" s="85">
        <f t="shared" si="1"/>
        <v>35</v>
      </c>
      <c r="J301" s="175" t="s">
        <v>135</v>
      </c>
    </row>
    <row r="302" spans="1:10" ht="15.75" customHeight="1">
      <c r="A302" s="151"/>
      <c r="B302" s="151"/>
      <c r="C302" s="84" t="s">
        <v>23</v>
      </c>
      <c r="D302" s="83">
        <v>0.4</v>
      </c>
      <c r="E302" s="85">
        <v>50</v>
      </c>
      <c r="F302" s="85">
        <f t="shared" si="0"/>
        <v>20</v>
      </c>
      <c r="G302" s="83"/>
      <c r="H302" s="86"/>
      <c r="I302" s="85">
        <f t="shared" si="1"/>
        <v>20</v>
      </c>
      <c r="J302" s="151"/>
    </row>
    <row r="303" spans="1:10" ht="15.75" customHeight="1">
      <c r="A303" s="160">
        <v>46244</v>
      </c>
      <c r="B303" s="86"/>
      <c r="C303" s="84" t="s">
        <v>23</v>
      </c>
      <c r="D303" s="83">
        <v>3.2</v>
      </c>
      <c r="E303" s="85">
        <v>49.9</v>
      </c>
      <c r="F303" s="85">
        <f t="shared" si="0"/>
        <v>159.68</v>
      </c>
      <c r="G303" s="83"/>
      <c r="H303" s="86"/>
      <c r="I303" s="85">
        <f t="shared" si="1"/>
        <v>159.68</v>
      </c>
      <c r="J303" s="86"/>
    </row>
    <row r="304" spans="1:10" ht="15.75" customHeight="1">
      <c r="A304" s="157"/>
      <c r="B304" s="86"/>
      <c r="C304" s="88" t="s">
        <v>26</v>
      </c>
      <c r="D304" s="83">
        <v>1.88</v>
      </c>
      <c r="E304" s="85">
        <v>126</v>
      </c>
      <c r="F304" s="85">
        <f t="shared" si="0"/>
        <v>236.88</v>
      </c>
      <c r="G304" s="83"/>
      <c r="H304" s="86"/>
      <c r="I304" s="85">
        <f t="shared" si="1"/>
        <v>236.88</v>
      </c>
      <c r="J304" s="86"/>
    </row>
    <row r="305" spans="1:10" ht="15.75" customHeight="1">
      <c r="A305" s="157"/>
      <c r="B305" s="159" t="s">
        <v>95</v>
      </c>
      <c r="C305" s="88" t="s">
        <v>16</v>
      </c>
      <c r="D305" s="83">
        <v>1</v>
      </c>
      <c r="E305" s="85">
        <v>29.9</v>
      </c>
      <c r="F305" s="85">
        <f t="shared" si="0"/>
        <v>29.9</v>
      </c>
      <c r="G305" s="83"/>
      <c r="H305" s="86"/>
      <c r="I305" s="85">
        <f t="shared" si="1"/>
        <v>29.9</v>
      </c>
      <c r="J305" s="86"/>
    </row>
    <row r="306" spans="1:10" ht="15.75" customHeight="1">
      <c r="A306" s="157"/>
      <c r="B306" s="151"/>
      <c r="C306" s="84" t="s">
        <v>23</v>
      </c>
      <c r="D306" s="83">
        <v>0.4</v>
      </c>
      <c r="E306" s="85">
        <v>50</v>
      </c>
      <c r="F306" s="85">
        <f t="shared" si="0"/>
        <v>20</v>
      </c>
      <c r="G306" s="83"/>
      <c r="H306" s="86"/>
      <c r="I306" s="85">
        <f t="shared" si="1"/>
        <v>20</v>
      </c>
      <c r="J306" s="86"/>
    </row>
    <row r="307" spans="1:10" ht="15.75" customHeight="1">
      <c r="A307" s="151"/>
      <c r="B307" s="83" t="s">
        <v>33</v>
      </c>
      <c r="C307" s="88" t="s">
        <v>16</v>
      </c>
      <c r="D307" s="83">
        <v>1</v>
      </c>
      <c r="E307" s="85">
        <v>29.9</v>
      </c>
      <c r="F307" s="85">
        <f t="shared" si="0"/>
        <v>29.9</v>
      </c>
      <c r="G307" s="83" t="s">
        <v>19</v>
      </c>
      <c r="H307" s="86"/>
      <c r="I307" s="85">
        <f t="shared" si="1"/>
        <v>29.9</v>
      </c>
      <c r="J307" s="86"/>
    </row>
    <row r="308" spans="1:10" ht="15.75" customHeight="1">
      <c r="A308" s="92">
        <v>46245</v>
      </c>
      <c r="B308" s="83" t="s">
        <v>147</v>
      </c>
      <c r="C308" s="89" t="s">
        <v>117</v>
      </c>
      <c r="D308" s="83">
        <v>1</v>
      </c>
      <c r="E308" s="85">
        <v>21</v>
      </c>
      <c r="F308" s="85">
        <f t="shared" si="0"/>
        <v>21</v>
      </c>
      <c r="G308" s="83" t="s">
        <v>17</v>
      </c>
      <c r="H308" s="86"/>
      <c r="I308" s="85">
        <f t="shared" si="1"/>
        <v>21</v>
      </c>
      <c r="J308" s="86"/>
    </row>
    <row r="309" spans="1:10" ht="15.75" customHeight="1">
      <c r="A309" s="92">
        <v>46246</v>
      </c>
      <c r="B309" s="83" t="s">
        <v>50</v>
      </c>
      <c r="C309" s="87" t="s">
        <v>133</v>
      </c>
      <c r="D309" s="83">
        <v>4</v>
      </c>
      <c r="E309" s="85">
        <v>70</v>
      </c>
      <c r="F309" s="85">
        <f t="shared" si="0"/>
        <v>280</v>
      </c>
      <c r="G309" s="83" t="s">
        <v>19</v>
      </c>
      <c r="H309" s="86"/>
      <c r="I309" s="85">
        <f t="shared" si="1"/>
        <v>280</v>
      </c>
      <c r="J309" s="86"/>
    </row>
    <row r="310" spans="1:10" ht="15.75" customHeight="1">
      <c r="A310" s="83"/>
      <c r="B310" s="83"/>
      <c r="C310" s="86"/>
      <c r="D310" s="86"/>
      <c r="E310" s="86"/>
      <c r="F310" s="86"/>
      <c r="G310" s="83"/>
      <c r="H310" s="86"/>
      <c r="I310" s="86"/>
      <c r="J310" s="86"/>
    </row>
    <row r="311" spans="1:10" ht="15.75" customHeight="1">
      <c r="A311" s="83"/>
      <c r="B311" s="83"/>
      <c r="C311" s="86"/>
      <c r="D311" s="86"/>
      <c r="E311" s="86"/>
      <c r="F311" s="86"/>
      <c r="G311" s="83"/>
      <c r="H311" s="86"/>
      <c r="I311" s="86"/>
      <c r="J311" s="86"/>
    </row>
    <row r="312" spans="1:10" ht="15.75" customHeight="1">
      <c r="A312" s="86"/>
      <c r="B312" s="83"/>
      <c r="C312" s="86"/>
      <c r="D312" s="86"/>
      <c r="E312" s="86"/>
      <c r="F312" s="86"/>
      <c r="G312" s="86"/>
      <c r="H312" s="86"/>
      <c r="I312" s="86"/>
      <c r="J312" s="86"/>
    </row>
  </sheetData>
  <mergeCells count="157">
    <mergeCell ref="A64:A65"/>
    <mergeCell ref="B67:B68"/>
    <mergeCell ref="A67:A68"/>
    <mergeCell ref="B64:B65"/>
    <mergeCell ref="B62:B63"/>
    <mergeCell ref="B51:B52"/>
    <mergeCell ref="Q149:Q151"/>
    <mergeCell ref="J167:J169"/>
    <mergeCell ref="J222:J223"/>
    <mergeCell ref="J224:J225"/>
    <mergeCell ref="J214:J215"/>
    <mergeCell ref="J227:J228"/>
    <mergeCell ref="J229:J230"/>
    <mergeCell ref="G249:G250"/>
    <mergeCell ref="G254:G255"/>
    <mergeCell ref="G208:G209"/>
    <mergeCell ref="G177:G178"/>
    <mergeCell ref="G179:G180"/>
    <mergeCell ref="G234:G235"/>
    <mergeCell ref="G227:G228"/>
    <mergeCell ref="G229:G230"/>
    <mergeCell ref="G242:G243"/>
    <mergeCell ref="G84:G85"/>
    <mergeCell ref="G87:G88"/>
    <mergeCell ref="G123:G124"/>
    <mergeCell ref="J123:J124"/>
    <mergeCell ref="J125:J126"/>
    <mergeCell ref="G125:G126"/>
    <mergeCell ref="G149:G150"/>
    <mergeCell ref="G192:G193"/>
    <mergeCell ref="J216:J217"/>
    <mergeCell ref="J197:J198"/>
    <mergeCell ref="B207:B208"/>
    <mergeCell ref="B182:B183"/>
    <mergeCell ref="B187:B188"/>
    <mergeCell ref="A197:A198"/>
    <mergeCell ref="B222:B223"/>
    <mergeCell ref="B224:B225"/>
    <mergeCell ref="A224:A225"/>
    <mergeCell ref="J127:J143"/>
    <mergeCell ref="G127:G128"/>
    <mergeCell ref="J218:J219"/>
    <mergeCell ref="B147:B148"/>
    <mergeCell ref="B184:B185"/>
    <mergeCell ref="A273:A274"/>
    <mergeCell ref="A275:A276"/>
    <mergeCell ref="A277:A278"/>
    <mergeCell ref="A208:A209"/>
    <mergeCell ref="A174:A175"/>
    <mergeCell ref="A199:A200"/>
    <mergeCell ref="A201:A202"/>
    <mergeCell ref="A203:A204"/>
    <mergeCell ref="B60:B61"/>
    <mergeCell ref="A60:A61"/>
    <mergeCell ref="B87:B88"/>
    <mergeCell ref="A87:A88"/>
    <mergeCell ref="B125:B126"/>
    <mergeCell ref="A125:A126"/>
    <mergeCell ref="A129:A140"/>
    <mergeCell ref="B135:B136"/>
    <mergeCell ref="B137:B138"/>
    <mergeCell ref="B139:B140"/>
    <mergeCell ref="B129:B130"/>
    <mergeCell ref="B131:B132"/>
    <mergeCell ref="A127:A128"/>
    <mergeCell ref="B127:B128"/>
    <mergeCell ref="B216:B217"/>
    <mergeCell ref="A214:A217"/>
    <mergeCell ref="J299:J300"/>
    <mergeCell ref="J301:J302"/>
    <mergeCell ref="J273:J274"/>
    <mergeCell ref="J277:J278"/>
    <mergeCell ref="J280:J281"/>
    <mergeCell ref="B277:B278"/>
    <mergeCell ref="G277:G278"/>
    <mergeCell ref="B265:B266"/>
    <mergeCell ref="B267:B268"/>
    <mergeCell ref="B273:B274"/>
    <mergeCell ref="J288:J289"/>
    <mergeCell ref="G288:G289"/>
    <mergeCell ref="G280:G281"/>
    <mergeCell ref="G286:G287"/>
    <mergeCell ref="G282:G284"/>
    <mergeCell ref="J286:J287"/>
    <mergeCell ref="B299:B300"/>
    <mergeCell ref="B301:B302"/>
    <mergeCell ref="G291:G292"/>
    <mergeCell ref="J291:J292"/>
    <mergeCell ref="B291:B292"/>
    <mergeCell ref="J295:J296"/>
    <mergeCell ref="B295:B296"/>
    <mergeCell ref="J297:J298"/>
    <mergeCell ref="J252:J253"/>
    <mergeCell ref="G252:G253"/>
    <mergeCell ref="B218:B219"/>
    <mergeCell ref="A218:A219"/>
    <mergeCell ref="J234:J235"/>
    <mergeCell ref="J249:J250"/>
    <mergeCell ref="J238:J239"/>
    <mergeCell ref="J240:J241"/>
    <mergeCell ref="J242:J243"/>
    <mergeCell ref="J245:J246"/>
    <mergeCell ref="G55:G56"/>
    <mergeCell ref="G60:G61"/>
    <mergeCell ref="A62:A63"/>
    <mergeCell ref="A57:A58"/>
    <mergeCell ref="J57:J58"/>
    <mergeCell ref="J60:J61"/>
    <mergeCell ref="J53:J54"/>
    <mergeCell ref="G53:G54"/>
    <mergeCell ref="J55:J56"/>
    <mergeCell ref="B55:B56"/>
    <mergeCell ref="B53:B54"/>
    <mergeCell ref="J62:J63"/>
    <mergeCell ref="G62:G63"/>
    <mergeCell ref="B179:B180"/>
    <mergeCell ref="B156:B157"/>
    <mergeCell ref="B158:B160"/>
    <mergeCell ref="A158:A160"/>
    <mergeCell ref="B163:B164"/>
    <mergeCell ref="B165:B166"/>
    <mergeCell ref="A161:A166"/>
    <mergeCell ref="B167:B169"/>
    <mergeCell ref="G156:G157"/>
    <mergeCell ref="G158:G160"/>
    <mergeCell ref="B305:B306"/>
    <mergeCell ref="A303:A307"/>
    <mergeCell ref="B297:B298"/>
    <mergeCell ref="A297:A298"/>
    <mergeCell ref="B280:B281"/>
    <mergeCell ref="A282:A286"/>
    <mergeCell ref="B286:B287"/>
    <mergeCell ref="B288:B289"/>
    <mergeCell ref="A287:A290"/>
    <mergeCell ref="A299:A300"/>
    <mergeCell ref="A301:A302"/>
    <mergeCell ref="A291:A296"/>
    <mergeCell ref="A279:A281"/>
    <mergeCell ref="A245:A248"/>
    <mergeCell ref="A249:A252"/>
    <mergeCell ref="A253:A256"/>
    <mergeCell ref="B245:B246"/>
    <mergeCell ref="B255:B256"/>
    <mergeCell ref="B257:B258"/>
    <mergeCell ref="B259:B260"/>
    <mergeCell ref="A257:A260"/>
    <mergeCell ref="B261:B262"/>
    <mergeCell ref="A261:A268"/>
    <mergeCell ref="B234:B235"/>
    <mergeCell ref="A227:A229"/>
    <mergeCell ref="B227:B228"/>
    <mergeCell ref="B229:B230"/>
    <mergeCell ref="A233:A236"/>
    <mergeCell ref="B240:B241"/>
    <mergeCell ref="A237:A240"/>
    <mergeCell ref="A241:A244"/>
    <mergeCell ref="B242:B24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0" customWidth="1"/>
    <col min="2" max="2" width="30.140625" customWidth="1"/>
    <col min="3" max="3" width="29" customWidth="1"/>
    <col min="4" max="4" width="25" customWidth="1"/>
    <col min="5" max="5" width="20" customWidth="1"/>
    <col min="6" max="6" width="17" customWidth="1"/>
    <col min="7" max="7" width="23.28515625" customWidth="1"/>
    <col min="8" max="8" width="12.42578125" customWidth="1"/>
    <col min="9" max="9" width="12.5703125" customWidth="1"/>
    <col min="10" max="11" width="8.85546875" customWidth="1"/>
  </cols>
  <sheetData>
    <row r="1" spans="1:8">
      <c r="A1" s="93" t="s">
        <v>6</v>
      </c>
      <c r="B1" s="93" t="s">
        <v>148</v>
      </c>
      <c r="C1" s="93" t="s">
        <v>8</v>
      </c>
      <c r="D1" s="93" t="s">
        <v>149</v>
      </c>
      <c r="E1" s="93" t="s">
        <v>150</v>
      </c>
      <c r="F1" s="93" t="s">
        <v>151</v>
      </c>
    </row>
    <row r="2" spans="1:8">
      <c r="A2" s="94">
        <v>46162</v>
      </c>
      <c r="B2" s="9" t="s">
        <v>152</v>
      </c>
      <c r="C2" s="9" t="s">
        <v>16</v>
      </c>
      <c r="D2" s="9">
        <v>20</v>
      </c>
      <c r="E2" s="24">
        <v>25</v>
      </c>
      <c r="F2" s="24">
        <f t="shared" ref="F2:F45" si="0">D2*E2</f>
        <v>500</v>
      </c>
      <c r="G2" s="2"/>
    </row>
    <row r="3" spans="1:8">
      <c r="A3" s="94">
        <v>46162</v>
      </c>
      <c r="B3" s="9" t="s">
        <v>152</v>
      </c>
      <c r="C3" s="9" t="s">
        <v>27</v>
      </c>
      <c r="D3" s="9">
        <v>10</v>
      </c>
      <c r="E3" s="24">
        <v>40</v>
      </c>
      <c r="F3" s="24">
        <f t="shared" si="0"/>
        <v>400</v>
      </c>
    </row>
    <row r="4" spans="1:8">
      <c r="A4" s="94">
        <v>46162</v>
      </c>
      <c r="B4" s="9" t="s">
        <v>152</v>
      </c>
      <c r="C4" s="9" t="s">
        <v>22</v>
      </c>
      <c r="D4" s="9">
        <v>18</v>
      </c>
      <c r="E4" s="24">
        <v>45</v>
      </c>
      <c r="F4" s="24">
        <f t="shared" si="0"/>
        <v>810</v>
      </c>
    </row>
    <row r="5" spans="1:8">
      <c r="A5" s="94">
        <v>46167</v>
      </c>
      <c r="B5" s="9" t="s">
        <v>153</v>
      </c>
      <c r="C5" s="9" t="s">
        <v>26</v>
      </c>
      <c r="D5" s="33">
        <v>2</v>
      </c>
      <c r="E5" s="36">
        <v>95</v>
      </c>
      <c r="F5" s="24">
        <f t="shared" si="0"/>
        <v>190</v>
      </c>
    </row>
    <row r="6" spans="1:8">
      <c r="A6" s="95">
        <v>46169</v>
      </c>
      <c r="B6" s="9" t="s">
        <v>154</v>
      </c>
      <c r="C6" s="9" t="s">
        <v>26</v>
      </c>
      <c r="D6" s="9">
        <v>3.3</v>
      </c>
      <c r="E6" s="24">
        <v>89.9</v>
      </c>
      <c r="F6" s="24">
        <f t="shared" si="0"/>
        <v>296.67</v>
      </c>
    </row>
    <row r="7" spans="1:8">
      <c r="A7" s="95">
        <v>46170</v>
      </c>
      <c r="B7" s="9" t="s">
        <v>155</v>
      </c>
      <c r="C7" s="9" t="s">
        <v>23</v>
      </c>
      <c r="D7" s="9">
        <v>15</v>
      </c>
      <c r="E7" s="24">
        <v>35</v>
      </c>
      <c r="F7" s="24">
        <f t="shared" si="0"/>
        <v>525</v>
      </c>
    </row>
    <row r="8" spans="1:8">
      <c r="A8" s="9" t="s">
        <v>156</v>
      </c>
      <c r="B8" s="9" t="s">
        <v>155</v>
      </c>
      <c r="C8" s="9" t="s">
        <v>23</v>
      </c>
      <c r="D8" s="33">
        <v>40</v>
      </c>
      <c r="E8" s="24">
        <v>35</v>
      </c>
      <c r="F8" s="24">
        <f t="shared" si="0"/>
        <v>1400</v>
      </c>
    </row>
    <row r="9" spans="1:8">
      <c r="A9" s="95">
        <v>46178</v>
      </c>
      <c r="B9" s="9" t="s">
        <v>157</v>
      </c>
      <c r="C9" s="9" t="s">
        <v>16</v>
      </c>
      <c r="D9" s="33">
        <v>45</v>
      </c>
      <c r="E9" s="24">
        <v>19</v>
      </c>
      <c r="F9" s="24">
        <f t="shared" si="0"/>
        <v>855</v>
      </c>
    </row>
    <row r="10" spans="1:8">
      <c r="A10" s="95">
        <v>46178</v>
      </c>
      <c r="B10" s="9" t="s">
        <v>158</v>
      </c>
      <c r="C10" s="9" t="s">
        <v>26</v>
      </c>
      <c r="D10" s="33">
        <v>2</v>
      </c>
      <c r="E10" s="24">
        <v>87</v>
      </c>
      <c r="F10" s="24">
        <f t="shared" si="0"/>
        <v>174</v>
      </c>
    </row>
    <row r="11" spans="1:8">
      <c r="A11" s="95">
        <v>46189</v>
      </c>
      <c r="B11" s="9" t="s">
        <v>152</v>
      </c>
      <c r="C11" s="9" t="s">
        <v>48</v>
      </c>
      <c r="D11" s="33">
        <v>30</v>
      </c>
      <c r="E11" s="24">
        <v>60</v>
      </c>
      <c r="F11" s="24">
        <f t="shared" si="0"/>
        <v>1800</v>
      </c>
    </row>
    <row r="12" spans="1:8">
      <c r="A12" s="95">
        <v>46189</v>
      </c>
      <c r="B12" s="9" t="s">
        <v>153</v>
      </c>
      <c r="C12" s="9" t="s">
        <v>26</v>
      </c>
      <c r="D12" s="33">
        <v>1.7882</v>
      </c>
      <c r="E12" s="24">
        <v>85</v>
      </c>
      <c r="F12" s="24">
        <f t="shared" si="0"/>
        <v>151.99700000000001</v>
      </c>
    </row>
    <row r="13" spans="1:8">
      <c r="A13" s="95">
        <v>46192</v>
      </c>
      <c r="B13" s="9" t="s">
        <v>159</v>
      </c>
      <c r="C13" s="17" t="s">
        <v>16</v>
      </c>
      <c r="D13" s="33">
        <v>10.052</v>
      </c>
      <c r="E13" s="24">
        <v>19.989999999999998</v>
      </c>
      <c r="F13" s="24">
        <f t="shared" si="0"/>
        <v>200.93947999999997</v>
      </c>
    </row>
    <row r="14" spans="1:8">
      <c r="A14" s="95">
        <v>46196</v>
      </c>
      <c r="B14" s="9" t="s">
        <v>153</v>
      </c>
      <c r="C14" s="9" t="s">
        <v>26</v>
      </c>
      <c r="D14" s="33">
        <v>2.7</v>
      </c>
      <c r="E14" s="24">
        <v>85</v>
      </c>
      <c r="F14" s="24">
        <f t="shared" si="0"/>
        <v>229.50000000000003</v>
      </c>
    </row>
    <row r="15" spans="1:8">
      <c r="A15" s="95">
        <v>46196</v>
      </c>
      <c r="B15" s="9" t="s">
        <v>153</v>
      </c>
      <c r="C15" s="9" t="s">
        <v>70</v>
      </c>
      <c r="D15" s="33">
        <v>3</v>
      </c>
      <c r="E15" s="24">
        <v>17</v>
      </c>
      <c r="F15" s="24">
        <f t="shared" si="0"/>
        <v>51</v>
      </c>
      <c r="G15" s="2"/>
      <c r="H15" s="2"/>
    </row>
    <row r="16" spans="1:8">
      <c r="A16" s="95">
        <v>46199</v>
      </c>
      <c r="B16" s="9" t="s">
        <v>155</v>
      </c>
      <c r="C16" s="9" t="s">
        <v>23</v>
      </c>
      <c r="D16" s="33">
        <v>10</v>
      </c>
      <c r="E16" s="24">
        <v>35</v>
      </c>
      <c r="F16" s="24">
        <f t="shared" si="0"/>
        <v>350</v>
      </c>
    </row>
    <row r="17" spans="1:11">
      <c r="A17" s="48">
        <v>46206</v>
      </c>
      <c r="B17" s="96" t="s">
        <v>160</v>
      </c>
      <c r="C17" s="96" t="s">
        <v>16</v>
      </c>
      <c r="D17" s="97">
        <v>11.5</v>
      </c>
      <c r="E17" s="98">
        <v>22.06</v>
      </c>
      <c r="F17" s="98">
        <f t="shared" si="0"/>
        <v>253.69</v>
      </c>
    </row>
    <row r="18" spans="1:11">
      <c r="A18" s="99">
        <v>46213</v>
      </c>
      <c r="B18" s="97" t="s">
        <v>160</v>
      </c>
      <c r="C18" s="97" t="s">
        <v>16</v>
      </c>
      <c r="D18" s="97">
        <v>20</v>
      </c>
      <c r="E18" s="100">
        <v>22</v>
      </c>
      <c r="F18" s="100">
        <f t="shared" si="0"/>
        <v>440</v>
      </c>
    </row>
    <row r="19" spans="1:11">
      <c r="A19" s="101"/>
      <c r="B19" s="102"/>
      <c r="C19" s="102"/>
      <c r="D19" s="102"/>
      <c r="E19" s="103"/>
      <c r="F19" s="103">
        <f t="shared" si="0"/>
        <v>0</v>
      </c>
      <c r="I19" s="2"/>
    </row>
    <row r="20" spans="1:11">
      <c r="A20" s="48">
        <v>46213</v>
      </c>
      <c r="B20" s="96" t="s">
        <v>155</v>
      </c>
      <c r="C20" s="96" t="s">
        <v>23</v>
      </c>
      <c r="D20" s="96">
        <v>20</v>
      </c>
      <c r="E20" s="98">
        <v>35</v>
      </c>
      <c r="F20" s="98">
        <f t="shared" si="0"/>
        <v>700</v>
      </c>
    </row>
    <row r="21" spans="1:11" ht="15.75" customHeight="1">
      <c r="A21" s="48">
        <v>46219</v>
      </c>
      <c r="B21" s="96" t="s">
        <v>161</v>
      </c>
      <c r="C21" s="96" t="s">
        <v>113</v>
      </c>
      <c r="D21" s="96">
        <v>8</v>
      </c>
      <c r="E21" s="98">
        <v>55</v>
      </c>
      <c r="F21" s="98">
        <f t="shared" si="0"/>
        <v>440</v>
      </c>
      <c r="G21" t="s">
        <v>162</v>
      </c>
    </row>
    <row r="22" spans="1:11" ht="15.75" customHeight="1">
      <c r="A22" s="48">
        <v>46220</v>
      </c>
      <c r="B22" s="96" t="s">
        <v>163</v>
      </c>
      <c r="C22" s="96" t="s">
        <v>23</v>
      </c>
      <c r="D22" s="96">
        <v>13.5</v>
      </c>
      <c r="E22" s="98">
        <v>35</v>
      </c>
      <c r="F22" s="98">
        <f t="shared" si="0"/>
        <v>472.5</v>
      </c>
    </row>
    <row r="23" spans="1:11" ht="15.75" customHeight="1">
      <c r="A23" s="48">
        <v>46224</v>
      </c>
      <c r="B23" s="104" t="s">
        <v>164</v>
      </c>
      <c r="C23" s="96" t="s">
        <v>26</v>
      </c>
      <c r="D23" s="96">
        <v>2.4</v>
      </c>
      <c r="E23" s="98">
        <v>90.8</v>
      </c>
      <c r="F23" s="98">
        <f t="shared" si="0"/>
        <v>217.92</v>
      </c>
      <c r="G23" t="s">
        <v>162</v>
      </c>
    </row>
    <row r="24" spans="1:11" ht="15.75" customHeight="1">
      <c r="A24" s="48">
        <v>46225</v>
      </c>
      <c r="B24" s="96" t="s">
        <v>165</v>
      </c>
      <c r="C24" s="96" t="s">
        <v>117</v>
      </c>
      <c r="D24" s="96">
        <v>2</v>
      </c>
      <c r="E24" s="98">
        <v>14</v>
      </c>
      <c r="F24" s="98">
        <f t="shared" si="0"/>
        <v>28</v>
      </c>
    </row>
    <row r="25" spans="1:11" ht="15.75" customHeight="1">
      <c r="A25" s="48">
        <v>46227</v>
      </c>
      <c r="B25" s="96" t="s">
        <v>166</v>
      </c>
      <c r="C25" s="96" t="s">
        <v>16</v>
      </c>
      <c r="D25" s="96">
        <v>10</v>
      </c>
      <c r="E25" s="98">
        <v>22.5</v>
      </c>
      <c r="F25" s="98">
        <f t="shared" si="0"/>
        <v>225</v>
      </c>
    </row>
    <row r="26" spans="1:11" ht="15.75" customHeight="1">
      <c r="A26" s="48">
        <v>46228</v>
      </c>
      <c r="B26" s="96" t="s">
        <v>161</v>
      </c>
      <c r="C26" s="96" t="s">
        <v>133</v>
      </c>
      <c r="D26" s="96">
        <v>5</v>
      </c>
      <c r="E26" s="98">
        <v>66</v>
      </c>
      <c r="F26" s="98">
        <f t="shared" si="0"/>
        <v>330</v>
      </c>
      <c r="G26" t="s">
        <v>167</v>
      </c>
    </row>
    <row r="27" spans="1:11" ht="15.75" customHeight="1">
      <c r="A27" s="48">
        <v>46228</v>
      </c>
      <c r="B27" s="96" t="s">
        <v>161</v>
      </c>
      <c r="C27" s="96" t="s">
        <v>26</v>
      </c>
      <c r="D27" s="96">
        <v>0.92</v>
      </c>
      <c r="E27" s="98">
        <v>109</v>
      </c>
      <c r="F27" s="98">
        <f t="shared" si="0"/>
        <v>100.28</v>
      </c>
      <c r="G27" t="s">
        <v>168</v>
      </c>
    </row>
    <row r="28" spans="1:11" ht="15.75" customHeight="1">
      <c r="A28" s="105">
        <v>46233</v>
      </c>
      <c r="B28" s="106" t="s">
        <v>169</v>
      </c>
      <c r="C28" s="106" t="s">
        <v>16</v>
      </c>
      <c r="D28" s="106">
        <v>16</v>
      </c>
      <c r="E28" s="107">
        <v>23</v>
      </c>
      <c r="F28" s="107">
        <f t="shared" si="0"/>
        <v>368</v>
      </c>
      <c r="G28" t="s">
        <v>170</v>
      </c>
    </row>
    <row r="29" spans="1:11" ht="15.75" customHeight="1">
      <c r="A29" s="105">
        <v>46233</v>
      </c>
      <c r="B29" s="106" t="s">
        <v>171</v>
      </c>
      <c r="C29" s="108" t="s">
        <v>113</v>
      </c>
      <c r="D29" s="109">
        <v>8</v>
      </c>
      <c r="E29" s="107">
        <v>56</v>
      </c>
      <c r="F29" s="107">
        <f t="shared" si="0"/>
        <v>448</v>
      </c>
    </row>
    <row r="30" spans="1:11" ht="15.75" customHeight="1">
      <c r="A30" s="105">
        <v>46233</v>
      </c>
      <c r="B30" s="106" t="s">
        <v>171</v>
      </c>
      <c r="C30" s="106" t="s">
        <v>23</v>
      </c>
      <c r="D30" s="106">
        <v>30</v>
      </c>
      <c r="E30" s="107">
        <v>36.17</v>
      </c>
      <c r="F30" s="107">
        <f t="shared" si="0"/>
        <v>1085.1000000000001</v>
      </c>
      <c r="K30" s="110"/>
    </row>
    <row r="31" spans="1:11" ht="15.75" customHeight="1">
      <c r="A31" s="105">
        <v>46233</v>
      </c>
      <c r="B31" s="106" t="s">
        <v>166</v>
      </c>
      <c r="C31" s="106" t="s">
        <v>16</v>
      </c>
      <c r="D31" s="109">
        <v>19</v>
      </c>
      <c r="E31" s="107">
        <v>22.11</v>
      </c>
      <c r="F31" s="107">
        <f t="shared" si="0"/>
        <v>420.09</v>
      </c>
    </row>
    <row r="32" spans="1:11" ht="15.75" customHeight="1">
      <c r="A32" s="105">
        <v>46236</v>
      </c>
      <c r="B32" s="111"/>
      <c r="C32" s="112" t="s">
        <v>27</v>
      </c>
      <c r="D32" s="106">
        <v>5</v>
      </c>
      <c r="E32" s="107">
        <v>60</v>
      </c>
      <c r="F32" s="107">
        <f t="shared" si="0"/>
        <v>300</v>
      </c>
    </row>
    <row r="33" spans="1:6" ht="15.75" customHeight="1">
      <c r="A33" s="105">
        <v>46236</v>
      </c>
      <c r="B33" s="106" t="s">
        <v>172</v>
      </c>
      <c r="C33" s="106" t="s">
        <v>26</v>
      </c>
      <c r="D33" s="106">
        <v>1.6</v>
      </c>
      <c r="E33" s="107">
        <v>75</v>
      </c>
      <c r="F33" s="107">
        <f t="shared" si="0"/>
        <v>120</v>
      </c>
    </row>
    <row r="34" spans="1:6" ht="15.75" customHeight="1">
      <c r="A34" s="105">
        <v>46236</v>
      </c>
      <c r="B34" s="109" t="s">
        <v>173</v>
      </c>
      <c r="C34" s="106" t="s">
        <v>133</v>
      </c>
      <c r="D34" s="106">
        <v>5</v>
      </c>
      <c r="E34" s="107">
        <v>60</v>
      </c>
      <c r="F34" s="107">
        <f t="shared" si="0"/>
        <v>300</v>
      </c>
    </row>
    <row r="35" spans="1:6" ht="15.75" customHeight="1">
      <c r="A35" s="105">
        <v>46239</v>
      </c>
      <c r="B35" s="111"/>
      <c r="C35" s="108" t="s">
        <v>113</v>
      </c>
      <c r="D35" s="106">
        <v>2.1</v>
      </c>
      <c r="E35" s="107">
        <v>66.66</v>
      </c>
      <c r="F35" s="107">
        <f t="shared" si="0"/>
        <v>139.98599999999999</v>
      </c>
    </row>
    <row r="36" spans="1:6" ht="15.75" customHeight="1">
      <c r="A36" s="105">
        <v>46233</v>
      </c>
      <c r="B36" s="111"/>
      <c r="C36" s="106" t="s">
        <v>174</v>
      </c>
      <c r="D36" s="106">
        <v>1</v>
      </c>
      <c r="E36" s="107">
        <v>30</v>
      </c>
      <c r="F36" s="107">
        <f t="shared" si="0"/>
        <v>30</v>
      </c>
    </row>
    <row r="37" spans="1:6" ht="15.75" customHeight="1">
      <c r="A37" s="105">
        <v>46240</v>
      </c>
      <c r="B37" s="106" t="s">
        <v>171</v>
      </c>
      <c r="C37" s="106" t="s">
        <v>23</v>
      </c>
      <c r="D37" s="106">
        <v>21.5</v>
      </c>
      <c r="E37" s="107">
        <v>34.979999999999997</v>
      </c>
      <c r="F37" s="107">
        <f t="shared" si="0"/>
        <v>752.06999999999994</v>
      </c>
    </row>
    <row r="38" spans="1:6" ht="15.75" customHeight="1">
      <c r="A38" s="105">
        <v>46240</v>
      </c>
      <c r="B38" s="106" t="s">
        <v>164</v>
      </c>
      <c r="C38" s="106" t="s">
        <v>26</v>
      </c>
      <c r="D38" s="106">
        <v>2.4</v>
      </c>
      <c r="E38" s="107">
        <v>68.25</v>
      </c>
      <c r="F38" s="107">
        <f t="shared" si="0"/>
        <v>163.79999999999998</v>
      </c>
    </row>
    <row r="39" spans="1:6" ht="15.75" customHeight="1">
      <c r="A39" s="191">
        <v>46240</v>
      </c>
      <c r="B39" s="106" t="s">
        <v>166</v>
      </c>
      <c r="C39" s="106" t="s">
        <v>16</v>
      </c>
      <c r="D39" s="106">
        <v>5</v>
      </c>
      <c r="E39" s="107">
        <v>24</v>
      </c>
      <c r="F39" s="107">
        <f t="shared" si="0"/>
        <v>120</v>
      </c>
    </row>
    <row r="40" spans="1:6" ht="15.75" customHeight="1">
      <c r="A40" s="174"/>
      <c r="B40" s="106" t="s">
        <v>166</v>
      </c>
      <c r="C40" s="106" t="s">
        <v>27</v>
      </c>
      <c r="D40" s="106">
        <v>3</v>
      </c>
      <c r="E40" s="107">
        <v>55</v>
      </c>
      <c r="F40" s="107">
        <f t="shared" si="0"/>
        <v>165</v>
      </c>
    </row>
    <row r="41" spans="1:6" ht="15.75" customHeight="1">
      <c r="A41" s="190">
        <v>46245</v>
      </c>
      <c r="B41" s="189" t="s">
        <v>165</v>
      </c>
      <c r="C41" s="106" t="s">
        <v>117</v>
      </c>
      <c r="D41" s="106">
        <v>4.4000000000000004</v>
      </c>
      <c r="E41" s="107">
        <v>14.55</v>
      </c>
      <c r="F41" s="107">
        <f t="shared" si="0"/>
        <v>64.02000000000001</v>
      </c>
    </row>
    <row r="42" spans="1:6" ht="15.75" customHeight="1">
      <c r="A42" s="151"/>
      <c r="B42" s="151"/>
      <c r="C42" s="112" t="s">
        <v>175</v>
      </c>
      <c r="D42" s="106">
        <v>2.4</v>
      </c>
      <c r="E42" s="107">
        <v>48.25</v>
      </c>
      <c r="F42" s="107">
        <f t="shared" si="0"/>
        <v>115.8</v>
      </c>
    </row>
    <row r="43" spans="1:6" ht="15.75" customHeight="1">
      <c r="A43" s="105">
        <v>46246</v>
      </c>
      <c r="B43" s="106" t="s">
        <v>176</v>
      </c>
      <c r="C43" s="106" t="s">
        <v>113</v>
      </c>
      <c r="D43" s="106">
        <v>10</v>
      </c>
      <c r="E43" s="107">
        <v>62.3</v>
      </c>
      <c r="F43" s="107">
        <f t="shared" si="0"/>
        <v>623</v>
      </c>
    </row>
    <row r="44" spans="1:6" ht="15.75" customHeight="1">
      <c r="A44" s="113">
        <v>46247</v>
      </c>
      <c r="B44" s="114" t="s">
        <v>177</v>
      </c>
      <c r="C44" s="106" t="s">
        <v>26</v>
      </c>
      <c r="D44" s="114">
        <v>7.92</v>
      </c>
      <c r="E44" s="115">
        <v>62.9</v>
      </c>
      <c r="F44" s="107">
        <f t="shared" si="0"/>
        <v>498.16800000000001</v>
      </c>
    </row>
    <row r="45" spans="1:6" ht="15.75" customHeight="1">
      <c r="A45" s="116"/>
      <c r="B45" s="114" t="s">
        <v>178</v>
      </c>
      <c r="C45" s="114" t="s">
        <v>139</v>
      </c>
      <c r="D45" s="114">
        <v>50</v>
      </c>
      <c r="E45" s="115">
        <v>0.7</v>
      </c>
      <c r="F45" s="115">
        <f t="shared" si="0"/>
        <v>35</v>
      </c>
    </row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41:B42"/>
    <mergeCell ref="A41:A42"/>
    <mergeCell ref="A39:A40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/>
  </sheetViews>
  <sheetFormatPr defaultColWidth="14.42578125" defaultRowHeight="15" customHeight="1"/>
  <cols>
    <col min="1" max="1" width="27.28515625" customWidth="1"/>
    <col min="2" max="2" width="11.7109375" customWidth="1"/>
    <col min="3" max="3" width="19.140625" customWidth="1"/>
    <col min="4" max="4" width="17.42578125" customWidth="1"/>
    <col min="5" max="5" width="15.28515625" customWidth="1"/>
    <col min="6" max="6" width="27" customWidth="1"/>
    <col min="7" max="7" width="17.42578125" customWidth="1"/>
    <col min="8" max="8" width="12.42578125" customWidth="1"/>
    <col min="9" max="9" width="12.5703125" customWidth="1"/>
    <col min="10" max="10" width="11.85546875" customWidth="1"/>
    <col min="11" max="11" width="8.85546875" customWidth="1"/>
    <col min="12" max="12" width="10.85546875" customWidth="1"/>
    <col min="13" max="13" width="8.85546875" customWidth="1"/>
  </cols>
  <sheetData>
    <row r="1" spans="1:13" ht="27.75" customHeight="1">
      <c r="A1" s="117" t="s">
        <v>8</v>
      </c>
      <c r="B1" s="117" t="s">
        <v>179</v>
      </c>
      <c r="C1" s="117" t="s">
        <v>180</v>
      </c>
      <c r="D1" s="117" t="s">
        <v>181</v>
      </c>
      <c r="E1" s="117" t="s">
        <v>182</v>
      </c>
      <c r="F1" s="118" t="s">
        <v>183</v>
      </c>
      <c r="G1" t="s">
        <v>184</v>
      </c>
    </row>
    <row r="2" spans="1:13">
      <c r="A2" s="119" t="s">
        <v>16</v>
      </c>
      <c r="B2" s="119"/>
      <c r="C2" s="119">
        <f>SUMIF(Compras!C:C,A2,Compras!D:D)</f>
        <v>156.55199999999999</v>
      </c>
      <c r="D2" s="119">
        <f>SUMIF(Vendas!C:C,A2,Vendas!D:D)</f>
        <v>167.5</v>
      </c>
      <c r="E2" s="119">
        <f t="shared" ref="E2:E22" si="0">B2+C2-D2</f>
        <v>-10.948000000000008</v>
      </c>
      <c r="F2" s="120"/>
      <c r="G2" t="s">
        <v>185</v>
      </c>
    </row>
    <row r="3" spans="1:13">
      <c r="A3" s="119" t="s">
        <v>27</v>
      </c>
      <c r="B3" s="119"/>
      <c r="C3" s="119">
        <f>SUMIF(Compras!C:C,A3,Compras!D:D)</f>
        <v>18</v>
      </c>
      <c r="D3" s="119">
        <f>SUMIF(Vendas!C:C,A3,Vendas!D:D)</f>
        <v>13.5</v>
      </c>
      <c r="E3" s="119">
        <f t="shared" si="0"/>
        <v>4.5</v>
      </c>
      <c r="F3" s="120"/>
      <c r="G3" t="s">
        <v>186</v>
      </c>
    </row>
    <row r="4" spans="1:13">
      <c r="A4" s="120" t="s">
        <v>133</v>
      </c>
      <c r="B4" s="119"/>
      <c r="C4" s="119">
        <f>SUMIF(Compras!C:C,A4,Compras!D:D)</f>
        <v>10</v>
      </c>
      <c r="D4" s="119">
        <f>SUMIF(Vendas!C:C,A4,Vendas!D:D)</f>
        <v>9</v>
      </c>
      <c r="E4" s="119">
        <f t="shared" si="0"/>
        <v>1</v>
      </c>
      <c r="F4" s="120"/>
    </row>
    <row r="5" spans="1:13">
      <c r="A5" s="119" t="s">
        <v>23</v>
      </c>
      <c r="B5" s="119"/>
      <c r="C5" s="119">
        <f>SUMIF(Compras!C:C,A5,Compras!D:D)</f>
        <v>150</v>
      </c>
      <c r="D5" s="119">
        <f>SUMIF(Vendas!C:C,A5,Vendas!D:D)</f>
        <v>126.46900000000007</v>
      </c>
      <c r="E5" s="119">
        <f t="shared" si="0"/>
        <v>23.530999999999935</v>
      </c>
      <c r="F5" s="120"/>
    </row>
    <row r="6" spans="1:13">
      <c r="A6" s="119" t="s">
        <v>26</v>
      </c>
      <c r="B6" s="119"/>
      <c r="C6" s="121">
        <f>SUMIF(Compras!C:C,A6,Compras!D:D)</f>
        <v>27.028199999999998</v>
      </c>
      <c r="D6" s="119">
        <f>SUMIF(Vendas!C:C,A6,Vendas!D:D)</f>
        <v>20.49</v>
      </c>
      <c r="E6" s="121">
        <f t="shared" si="0"/>
        <v>6.5381999999999998</v>
      </c>
      <c r="F6" s="120"/>
    </row>
    <row r="7" spans="1:13">
      <c r="A7" s="119" t="s">
        <v>48</v>
      </c>
      <c r="B7" s="119"/>
      <c r="C7" s="119">
        <f>SUMIF(Compras!C:C,A7,Compras!D:D)</f>
        <v>30</v>
      </c>
      <c r="D7" s="119">
        <f>SUMIF(Vendas!C:C,A7,Vendas!D:D)</f>
        <v>38</v>
      </c>
      <c r="E7" s="119">
        <f t="shared" si="0"/>
        <v>-8</v>
      </c>
      <c r="F7" s="120"/>
    </row>
    <row r="8" spans="1:13">
      <c r="A8" s="119" t="s">
        <v>70</v>
      </c>
      <c r="B8" s="119"/>
      <c r="C8" s="119">
        <f>SUMIF(Compras!C:C,A8,Compras!D:D)</f>
        <v>3</v>
      </c>
      <c r="D8" s="119">
        <f>SUMIF(Vendas!C:C,A8,Vendas!D:D)</f>
        <v>2.1</v>
      </c>
      <c r="E8" s="119">
        <f t="shared" si="0"/>
        <v>0.89999999999999991</v>
      </c>
      <c r="F8" s="122"/>
      <c r="G8" s="123" t="s">
        <v>187</v>
      </c>
      <c r="H8" s="123"/>
      <c r="I8" s="123"/>
    </row>
    <row r="9" spans="1:13">
      <c r="A9" s="119" t="s">
        <v>113</v>
      </c>
      <c r="C9" s="119">
        <f>SUMIF(Compras!C:C,A9,Compras!D:D)</f>
        <v>28.1</v>
      </c>
      <c r="D9" s="119">
        <f>SUMIF(Vendas!C:C,A9,Vendas!D:D)</f>
        <v>10</v>
      </c>
      <c r="E9" s="119">
        <f t="shared" si="0"/>
        <v>18.100000000000001</v>
      </c>
      <c r="G9" s="123" t="s">
        <v>188</v>
      </c>
      <c r="H9" s="123"/>
      <c r="I9" s="123"/>
      <c r="J9" s="2">
        <v>60</v>
      </c>
      <c r="K9" s="124">
        <v>1</v>
      </c>
      <c r="L9" s="2">
        <f t="shared" ref="L9:L14" si="1">J9*K9</f>
        <v>60</v>
      </c>
      <c r="M9" s="124"/>
    </row>
    <row r="10" spans="1:13">
      <c r="A10" s="119" t="s">
        <v>117</v>
      </c>
      <c r="B10" s="119"/>
      <c r="C10" s="119">
        <f>SUMIF(Compras!C:C,A10,Compras!D:D)</f>
        <v>6.4</v>
      </c>
      <c r="D10" s="119">
        <f>SUMIF(Vendas!C:C,A10,Vendas!D:D)</f>
        <v>3</v>
      </c>
      <c r="E10" s="119">
        <f t="shared" si="0"/>
        <v>3.4000000000000004</v>
      </c>
      <c r="G10" s="123" t="s">
        <v>189</v>
      </c>
      <c r="H10" s="123"/>
      <c r="I10" s="123"/>
      <c r="J10" s="2">
        <v>79.900000000000006</v>
      </c>
      <c r="K10" s="124">
        <v>0</v>
      </c>
      <c r="L10" s="2">
        <f t="shared" si="1"/>
        <v>0</v>
      </c>
      <c r="M10" s="124"/>
    </row>
    <row r="11" spans="1:13">
      <c r="A11" s="125" t="s">
        <v>174</v>
      </c>
      <c r="C11" s="119">
        <f>SUMIF(Compras!C:C,A11,Compras!D:D)</f>
        <v>1</v>
      </c>
      <c r="D11" s="119">
        <f>SUMIF(Vendas!C:C,A11,Vendas!D:D)</f>
        <v>0</v>
      </c>
      <c r="E11" s="119">
        <f t="shared" si="0"/>
        <v>1</v>
      </c>
      <c r="G11" s="123" t="s">
        <v>190</v>
      </c>
      <c r="H11" s="123"/>
      <c r="I11" s="123"/>
      <c r="J11" s="2">
        <v>49.9</v>
      </c>
      <c r="K11" s="124">
        <v>30</v>
      </c>
      <c r="L11" s="2">
        <f t="shared" si="1"/>
        <v>1497</v>
      </c>
      <c r="M11" s="124"/>
    </row>
    <row r="12" spans="1:13">
      <c r="A12" s="119" t="s">
        <v>175</v>
      </c>
      <c r="C12" s="119">
        <f>SUMIF(Compras!C:C,A12,Compras!D:D)</f>
        <v>2.4</v>
      </c>
      <c r="D12" s="119">
        <f>SUMIF(Vendas!C:C,A12,Vendas!D:D)</f>
        <v>0</v>
      </c>
      <c r="E12" s="119">
        <f t="shared" si="0"/>
        <v>2.4</v>
      </c>
      <c r="G12" s="123" t="s">
        <v>191</v>
      </c>
      <c r="H12" s="123"/>
      <c r="I12" s="123"/>
      <c r="J12" s="2">
        <v>27</v>
      </c>
      <c r="K12" s="124">
        <v>1.234</v>
      </c>
      <c r="L12" s="2">
        <f t="shared" si="1"/>
        <v>33.317999999999998</v>
      </c>
      <c r="M12" s="124"/>
    </row>
    <row r="13" spans="1:13">
      <c r="A13" s="126" t="s">
        <v>139</v>
      </c>
      <c r="C13" s="119">
        <f>SUMIF(Compras!C:C,A13,Compras!D:D)</f>
        <v>50</v>
      </c>
      <c r="D13" s="119">
        <f>SUMIF(Vendas!C:C,A13,Vendas!D:D)</f>
        <v>10</v>
      </c>
      <c r="E13" s="119">
        <f t="shared" si="0"/>
        <v>40</v>
      </c>
      <c r="G13" s="123" t="s">
        <v>192</v>
      </c>
      <c r="H13" s="123"/>
      <c r="I13" s="123"/>
      <c r="J13" s="2">
        <v>29.9</v>
      </c>
      <c r="K13" s="124">
        <v>8</v>
      </c>
      <c r="L13" s="2">
        <f t="shared" si="1"/>
        <v>239.2</v>
      </c>
      <c r="M13" s="124"/>
    </row>
    <row r="14" spans="1:13">
      <c r="C14" s="119">
        <f>SUMIF(Compras!C:C,A14,Compras!D:D)</f>
        <v>0</v>
      </c>
      <c r="D14" s="119">
        <f>SUMIF(Vendas!C:C,A14,Vendas!D:D)</f>
        <v>0</v>
      </c>
      <c r="E14" s="119">
        <f t="shared" si="0"/>
        <v>0</v>
      </c>
      <c r="G14" s="123" t="s">
        <v>193</v>
      </c>
      <c r="H14" s="123"/>
      <c r="I14" s="123"/>
      <c r="J14" s="2">
        <v>119.9</v>
      </c>
      <c r="K14" s="124">
        <v>0</v>
      </c>
      <c r="L14" s="2">
        <f t="shared" si="1"/>
        <v>0</v>
      </c>
      <c r="M14" s="124"/>
    </row>
    <row r="15" spans="1:13">
      <c r="C15" s="119">
        <f>SUMIF(Compras!C:C,A15,Compras!D:D)</f>
        <v>0</v>
      </c>
      <c r="D15" s="119">
        <f>SUMIF(Vendas!C:C,A15,Vendas!D:D)</f>
        <v>0</v>
      </c>
      <c r="E15" s="119">
        <f t="shared" si="0"/>
        <v>0</v>
      </c>
      <c r="G15" s="127" t="s">
        <v>113</v>
      </c>
      <c r="H15" s="127"/>
      <c r="I15" s="127"/>
      <c r="L15" s="2">
        <f>SUM(L9:L14)</f>
        <v>1829.518</v>
      </c>
      <c r="M15" s="124"/>
    </row>
    <row r="16" spans="1:13">
      <c r="C16" s="119">
        <f>SUMIF(Compras!C:C,A16,Compras!D:D)</f>
        <v>0</v>
      </c>
      <c r="D16" s="119">
        <f>SUMIF(Vendas!C:C,A16,Vendas!D:D)</f>
        <v>0</v>
      </c>
      <c r="E16" s="119">
        <f t="shared" si="0"/>
        <v>0</v>
      </c>
      <c r="G16" s="128" t="s">
        <v>22</v>
      </c>
      <c r="H16" s="127"/>
      <c r="I16" s="127"/>
    </row>
    <row r="17" spans="3:9">
      <c r="C17" s="119">
        <f>SUMIF(Compras!C:C,A17,Compras!D:D)</f>
        <v>0</v>
      </c>
      <c r="D17" s="119">
        <f>SUMIF(Vendas!C:C,A17,Vendas!D:D)</f>
        <v>0</v>
      </c>
      <c r="E17" s="119">
        <f t="shared" si="0"/>
        <v>0</v>
      </c>
      <c r="G17" s="127" t="s">
        <v>175</v>
      </c>
      <c r="H17" s="127"/>
      <c r="I17" s="127"/>
    </row>
    <row r="18" spans="3:9">
      <c r="C18" s="119">
        <f>SUMIF(Compras!C:C,A18,Compras!D:D)</f>
        <v>0</v>
      </c>
      <c r="D18" s="119">
        <f>SUMIF(Vendas!C:C,A18,Vendas!D:D)</f>
        <v>0</v>
      </c>
      <c r="E18" s="119">
        <f t="shared" si="0"/>
        <v>0</v>
      </c>
      <c r="G18" s="127" t="s">
        <v>117</v>
      </c>
      <c r="H18" s="127"/>
      <c r="I18" s="127"/>
    </row>
    <row r="19" spans="3:9">
      <c r="C19" s="119">
        <f>SUMIF(Compras!C:C,A19,Compras!D:D)</f>
        <v>0</v>
      </c>
      <c r="D19" s="119">
        <f>SUMIF(Vendas!C:C,A19,Vendas!D:D)</f>
        <v>0</v>
      </c>
      <c r="E19" s="119">
        <f t="shared" si="0"/>
        <v>0</v>
      </c>
    </row>
    <row r="20" spans="3:9">
      <c r="C20" s="119">
        <f>SUMIF(Compras!C:C,A20,Compras!D:D)</f>
        <v>0</v>
      </c>
      <c r="D20" s="119">
        <f>SUMIF(Vendas!C:C,A20,Vendas!D:D)</f>
        <v>0</v>
      </c>
      <c r="E20" s="119">
        <f t="shared" si="0"/>
        <v>0</v>
      </c>
    </row>
    <row r="21" spans="3:9" ht="15.75" customHeight="1">
      <c r="C21" s="119">
        <f>SUMIF(Compras!C:C,A21,Compras!D:D)</f>
        <v>0</v>
      </c>
      <c r="D21" s="119">
        <f>SUMIF(Vendas!C:C,A21,Vendas!D:D)</f>
        <v>0</v>
      </c>
      <c r="E21" s="119">
        <f t="shared" si="0"/>
        <v>0</v>
      </c>
    </row>
    <row r="22" spans="3:9" ht="15.75" customHeight="1">
      <c r="D22" s="119">
        <f>SUMIF(Vendas!C:C,A22,Vendas!D:D)</f>
        <v>0</v>
      </c>
      <c r="E22" s="119">
        <f t="shared" si="0"/>
        <v>0</v>
      </c>
    </row>
    <row r="23" spans="3:9" ht="15.75" customHeight="1">
      <c r="I23" s="119"/>
    </row>
    <row r="24" spans="3:9" ht="15.75" customHeight="1">
      <c r="G24" s="192"/>
    </row>
    <row r="25" spans="3:9" ht="15.75" customHeight="1">
      <c r="G25" s="193"/>
    </row>
    <row r="26" spans="3:9" ht="15.75" customHeight="1">
      <c r="G26" s="193"/>
    </row>
    <row r="27" spans="3:9" ht="15.75" customHeight="1"/>
    <row r="28" spans="3:9" ht="15.75" customHeight="1"/>
    <row r="29" spans="3:9" ht="15.75" customHeight="1"/>
    <row r="30" spans="3:9" ht="15.75" customHeight="1"/>
    <row r="31" spans="3:9" ht="15.75" customHeight="1"/>
    <row r="32" spans="3:9" ht="15.75" customHeight="1"/>
    <row r="33" ht="15.75" customHeight="1"/>
    <row r="34" ht="15.75" customHeight="1"/>
    <row r="35" ht="4.5" customHeight="1"/>
    <row r="36" ht="15.75" hidden="1" customHeight="1"/>
    <row r="37" ht="15.75" hidden="1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G24:G2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21.7109375" customWidth="1"/>
    <col min="3" max="3" width="32.28515625" customWidth="1"/>
    <col min="4" max="4" width="17.5703125" customWidth="1"/>
    <col min="5" max="5" width="35" customWidth="1"/>
    <col min="6" max="11" width="8.85546875" customWidth="1"/>
  </cols>
  <sheetData>
    <row r="1" spans="1:6">
      <c r="A1" s="129" t="s">
        <v>6</v>
      </c>
      <c r="B1" s="130" t="s">
        <v>194</v>
      </c>
      <c r="C1" s="130" t="s">
        <v>195</v>
      </c>
      <c r="D1" s="130" t="s">
        <v>1</v>
      </c>
      <c r="E1" s="130" t="s">
        <v>12</v>
      </c>
    </row>
    <row r="2" spans="1:6">
      <c r="A2" s="95">
        <v>46142</v>
      </c>
      <c r="B2" s="19" t="s">
        <v>196</v>
      </c>
      <c r="C2" s="19" t="s">
        <v>197</v>
      </c>
      <c r="D2" s="24">
        <v>4014</v>
      </c>
      <c r="E2" s="19" t="s">
        <v>198</v>
      </c>
      <c r="F2" t="s">
        <v>123</v>
      </c>
    </row>
    <row r="3" spans="1:6">
      <c r="A3" s="9"/>
      <c r="B3" s="19" t="s">
        <v>196</v>
      </c>
      <c r="C3" s="19" t="s">
        <v>199</v>
      </c>
      <c r="D3" s="24">
        <v>25</v>
      </c>
      <c r="E3" s="19"/>
      <c r="F3" s="192" t="s">
        <v>200</v>
      </c>
    </row>
    <row r="4" spans="1:6">
      <c r="A4" s="95">
        <v>46170</v>
      </c>
      <c r="B4" s="19" t="s">
        <v>196</v>
      </c>
      <c r="C4" s="19" t="s">
        <v>201</v>
      </c>
      <c r="D4" s="24">
        <v>200</v>
      </c>
      <c r="E4" s="19"/>
      <c r="F4" s="193"/>
    </row>
    <row r="5" spans="1:6">
      <c r="A5" s="9"/>
      <c r="B5" s="19" t="s">
        <v>202</v>
      </c>
      <c r="C5" s="19" t="s">
        <v>203</v>
      </c>
      <c r="D5" s="24">
        <v>52</v>
      </c>
      <c r="E5" s="19"/>
      <c r="F5" s="193"/>
    </row>
    <row r="6" spans="1:6">
      <c r="A6" s="95">
        <v>46170</v>
      </c>
      <c r="B6" s="19" t="s">
        <v>204</v>
      </c>
      <c r="C6" s="19" t="s">
        <v>205</v>
      </c>
      <c r="D6" s="24">
        <v>42.48</v>
      </c>
      <c r="E6" s="19"/>
      <c r="F6" s="193"/>
    </row>
    <row r="7" spans="1:6">
      <c r="A7" s="9"/>
      <c r="B7" s="19" t="s">
        <v>204</v>
      </c>
      <c r="C7" s="19" t="s">
        <v>206</v>
      </c>
      <c r="D7" s="24"/>
      <c r="E7" s="19"/>
      <c r="F7" s="193"/>
    </row>
    <row r="8" spans="1:6">
      <c r="A8" s="95">
        <v>46172</v>
      </c>
      <c r="B8" s="19" t="s">
        <v>207</v>
      </c>
      <c r="C8" s="19" t="s">
        <v>208</v>
      </c>
      <c r="D8" s="24">
        <v>156</v>
      </c>
      <c r="E8" s="19"/>
      <c r="F8" s="193"/>
    </row>
    <row r="9" spans="1:6">
      <c r="A9" s="9"/>
      <c r="B9" s="19" t="s">
        <v>207</v>
      </c>
      <c r="C9" s="19" t="s">
        <v>209</v>
      </c>
      <c r="D9" s="24">
        <v>34.9</v>
      </c>
      <c r="E9" s="19"/>
      <c r="F9" s="193"/>
    </row>
    <row r="10" spans="1:6">
      <c r="A10" s="9"/>
      <c r="B10" s="19" t="s">
        <v>202</v>
      </c>
      <c r="C10" s="19" t="s">
        <v>210</v>
      </c>
      <c r="D10" s="24">
        <v>40.35</v>
      </c>
      <c r="E10" s="19"/>
      <c r="F10" s="192" t="s">
        <v>123</v>
      </c>
    </row>
    <row r="11" spans="1:6">
      <c r="A11" s="9"/>
      <c r="B11" s="19" t="s">
        <v>202</v>
      </c>
      <c r="C11" s="19" t="s">
        <v>211</v>
      </c>
      <c r="D11" s="24">
        <v>289</v>
      </c>
      <c r="E11" s="19"/>
      <c r="F11" s="193"/>
    </row>
    <row r="12" spans="1:6">
      <c r="A12" s="9"/>
      <c r="B12" s="19" t="s">
        <v>212</v>
      </c>
      <c r="C12" s="19" t="s">
        <v>213</v>
      </c>
      <c r="D12" s="24">
        <v>54</v>
      </c>
      <c r="E12" s="19"/>
      <c r="F12" s="193"/>
    </row>
    <row r="13" spans="1:6">
      <c r="A13" s="9"/>
      <c r="B13" s="19" t="s">
        <v>214</v>
      </c>
      <c r="C13" s="19" t="s">
        <v>215</v>
      </c>
      <c r="D13" s="24">
        <v>125</v>
      </c>
      <c r="E13" s="19"/>
      <c r="F13" s="192" t="s">
        <v>200</v>
      </c>
    </row>
    <row r="14" spans="1:6">
      <c r="A14" s="9" t="s">
        <v>216</v>
      </c>
      <c r="B14" s="19" t="s">
        <v>217</v>
      </c>
      <c r="C14" s="19" t="s">
        <v>218</v>
      </c>
      <c r="D14" s="24">
        <v>40</v>
      </c>
      <c r="E14" s="19"/>
      <c r="F14" s="193"/>
    </row>
    <row r="15" spans="1:6" ht="18" customHeight="1">
      <c r="A15" s="95">
        <v>46162</v>
      </c>
      <c r="B15" s="19" t="s">
        <v>219</v>
      </c>
      <c r="C15" s="19" t="s">
        <v>220</v>
      </c>
      <c r="D15" s="24">
        <v>1710</v>
      </c>
      <c r="E15" s="19"/>
      <c r="F15" s="193"/>
    </row>
    <row r="16" spans="1:6" ht="18" customHeight="1">
      <c r="A16" s="95">
        <v>46167</v>
      </c>
      <c r="B16" s="19" t="s">
        <v>219</v>
      </c>
      <c r="C16" s="19" t="s">
        <v>221</v>
      </c>
      <c r="D16" s="24">
        <v>334</v>
      </c>
      <c r="E16" s="19"/>
      <c r="F16" s="131" t="s">
        <v>123</v>
      </c>
    </row>
    <row r="17" spans="1:6">
      <c r="A17" s="95">
        <v>46169</v>
      </c>
      <c r="B17" s="19" t="s">
        <v>219</v>
      </c>
      <c r="C17" s="19" t="s">
        <v>221</v>
      </c>
      <c r="D17" s="24">
        <v>294.33</v>
      </c>
      <c r="E17" s="19"/>
      <c r="F17" s="192" t="s">
        <v>200</v>
      </c>
    </row>
    <row r="18" spans="1:6">
      <c r="A18" s="95">
        <v>46169</v>
      </c>
      <c r="B18" s="31" t="s">
        <v>222</v>
      </c>
      <c r="C18" s="31" t="s">
        <v>223</v>
      </c>
      <c r="D18" s="24">
        <v>34.9</v>
      </c>
      <c r="E18" s="132" t="s">
        <v>224</v>
      </c>
      <c r="F18" s="193"/>
    </row>
    <row r="19" spans="1:6">
      <c r="A19" s="95">
        <v>46170</v>
      </c>
      <c r="B19" s="19" t="s">
        <v>219</v>
      </c>
      <c r="C19" s="19" t="s">
        <v>23</v>
      </c>
      <c r="D19" s="24">
        <v>525</v>
      </c>
      <c r="E19" s="19"/>
      <c r="F19" s="193"/>
    </row>
    <row r="20" spans="1:6">
      <c r="A20" s="19"/>
      <c r="B20" s="19" t="s">
        <v>202</v>
      </c>
      <c r="C20" s="19" t="s">
        <v>225</v>
      </c>
      <c r="D20" s="36">
        <v>58</v>
      </c>
      <c r="E20" s="19"/>
      <c r="F20" s="193"/>
    </row>
    <row r="21" spans="1:6" ht="15.75" customHeight="1">
      <c r="A21" s="19"/>
      <c r="B21" s="19" t="s">
        <v>202</v>
      </c>
      <c r="C21" s="19" t="s">
        <v>226</v>
      </c>
      <c r="D21" s="36">
        <v>192.5</v>
      </c>
      <c r="E21" s="19" t="s">
        <v>227</v>
      </c>
      <c r="F21" s="193"/>
    </row>
    <row r="22" spans="1:6" ht="15.75" customHeight="1">
      <c r="A22" s="19"/>
      <c r="B22" s="19" t="s">
        <v>202</v>
      </c>
      <c r="C22" s="19" t="s">
        <v>228</v>
      </c>
      <c r="D22" s="36">
        <v>259.85000000000002</v>
      </c>
      <c r="E22" s="19"/>
      <c r="F22" s="193"/>
    </row>
    <row r="23" spans="1:6" ht="15.75" customHeight="1">
      <c r="A23" s="95">
        <v>46174</v>
      </c>
      <c r="B23" s="19" t="s">
        <v>217</v>
      </c>
      <c r="C23" s="19" t="s">
        <v>218</v>
      </c>
      <c r="D23" s="24">
        <v>20</v>
      </c>
      <c r="E23" s="19"/>
      <c r="F23" s="193"/>
    </row>
    <row r="24" spans="1:6" ht="15.75" customHeight="1">
      <c r="A24" s="95">
        <v>46177</v>
      </c>
      <c r="B24" s="19" t="s">
        <v>229</v>
      </c>
      <c r="C24" s="19" t="s">
        <v>230</v>
      </c>
      <c r="D24" s="24">
        <v>32.99</v>
      </c>
      <c r="E24" s="19"/>
      <c r="F24" s="193"/>
    </row>
    <row r="25" spans="1:6" ht="15.75" customHeight="1">
      <c r="A25" s="95">
        <v>46177</v>
      </c>
      <c r="B25" s="19" t="s">
        <v>231</v>
      </c>
      <c r="C25" s="19" t="s">
        <v>232</v>
      </c>
      <c r="D25" s="24">
        <v>15</v>
      </c>
      <c r="E25" s="19"/>
      <c r="F25" s="193"/>
    </row>
    <row r="26" spans="1:6" ht="15.75" customHeight="1">
      <c r="A26" s="95">
        <v>46179</v>
      </c>
      <c r="B26" s="19" t="s">
        <v>233</v>
      </c>
      <c r="C26" s="19" t="s">
        <v>234</v>
      </c>
      <c r="D26" s="24">
        <v>17.3</v>
      </c>
      <c r="E26" s="19"/>
      <c r="F26" s="193"/>
    </row>
    <row r="27" spans="1:6" ht="15.75" customHeight="1">
      <c r="A27" s="95">
        <v>46181</v>
      </c>
      <c r="B27" s="19" t="s">
        <v>217</v>
      </c>
      <c r="C27" s="19" t="s">
        <v>218</v>
      </c>
      <c r="D27" s="24">
        <v>40</v>
      </c>
      <c r="E27" s="19"/>
      <c r="F27" s="193"/>
    </row>
    <row r="28" spans="1:6" ht="15.75" customHeight="1">
      <c r="A28" s="95">
        <v>46179</v>
      </c>
      <c r="B28" s="19" t="s">
        <v>235</v>
      </c>
      <c r="C28" s="19" t="s">
        <v>234</v>
      </c>
      <c r="D28" s="24">
        <v>15.5</v>
      </c>
      <c r="E28" s="19" t="s">
        <v>236</v>
      </c>
      <c r="F28" s="193"/>
    </row>
    <row r="29" spans="1:6" ht="15.75" customHeight="1">
      <c r="A29" s="9" t="s">
        <v>156</v>
      </c>
      <c r="B29" s="19" t="s">
        <v>219</v>
      </c>
      <c r="C29" s="22" t="s">
        <v>23</v>
      </c>
      <c r="D29" s="24">
        <v>1400</v>
      </c>
      <c r="E29" s="19"/>
      <c r="F29" s="193"/>
    </row>
    <row r="30" spans="1:6" ht="15.75" customHeight="1">
      <c r="A30" s="95">
        <v>46178</v>
      </c>
      <c r="B30" s="19" t="s">
        <v>219</v>
      </c>
      <c r="C30" s="22" t="s">
        <v>16</v>
      </c>
      <c r="D30" s="24">
        <v>855</v>
      </c>
      <c r="E30" s="19"/>
      <c r="F30" s="193"/>
    </row>
    <row r="31" spans="1:6" ht="15.75" customHeight="1">
      <c r="A31" s="95">
        <v>46178</v>
      </c>
      <c r="B31" s="19" t="s">
        <v>219</v>
      </c>
      <c r="C31" s="22" t="s">
        <v>26</v>
      </c>
      <c r="D31" s="24">
        <v>174</v>
      </c>
      <c r="E31" s="19"/>
      <c r="F31" s="193"/>
    </row>
    <row r="32" spans="1:6" ht="15.75" customHeight="1">
      <c r="A32" s="95">
        <v>46189</v>
      </c>
      <c r="B32" s="19" t="s">
        <v>219</v>
      </c>
      <c r="C32" s="22" t="s">
        <v>48</v>
      </c>
      <c r="D32" s="24">
        <v>1800</v>
      </c>
      <c r="E32" s="19"/>
      <c r="F32" s="193"/>
    </row>
    <row r="33" spans="1:8" ht="15.75" customHeight="1">
      <c r="A33" s="95">
        <v>46189</v>
      </c>
      <c r="B33" s="19" t="s">
        <v>219</v>
      </c>
      <c r="C33" s="22" t="s">
        <v>26</v>
      </c>
      <c r="D33" s="24">
        <v>152</v>
      </c>
      <c r="E33" s="19"/>
      <c r="F33" s="193"/>
    </row>
    <row r="34" spans="1:8" ht="15.75" customHeight="1">
      <c r="A34" s="95">
        <v>46190</v>
      </c>
      <c r="B34" s="19" t="s">
        <v>217</v>
      </c>
      <c r="C34" s="19" t="s">
        <v>218</v>
      </c>
      <c r="D34" s="24">
        <v>20</v>
      </c>
      <c r="E34" s="19"/>
      <c r="F34" s="193"/>
    </row>
    <row r="35" spans="1:8" ht="15.75" customHeight="1">
      <c r="A35" s="9" t="s">
        <v>237</v>
      </c>
      <c r="B35" s="19" t="s">
        <v>204</v>
      </c>
      <c r="C35" s="19" t="s">
        <v>238</v>
      </c>
      <c r="D35" s="24">
        <v>44.59</v>
      </c>
      <c r="E35" s="19"/>
      <c r="F35" s="193"/>
    </row>
    <row r="36" spans="1:8" ht="15.75" customHeight="1">
      <c r="A36" s="95">
        <v>46189</v>
      </c>
      <c r="B36" s="19" t="s">
        <v>229</v>
      </c>
      <c r="C36" s="22" t="s">
        <v>239</v>
      </c>
      <c r="D36" s="24">
        <v>4.99</v>
      </c>
      <c r="E36" s="19"/>
      <c r="F36" s="193"/>
    </row>
    <row r="37" spans="1:8" ht="15.75" customHeight="1">
      <c r="A37" s="95">
        <v>46189</v>
      </c>
      <c r="B37" s="19" t="s">
        <v>240</v>
      </c>
      <c r="C37" s="22" t="s">
        <v>241</v>
      </c>
      <c r="D37" s="24">
        <v>7.4</v>
      </c>
      <c r="E37" s="19"/>
      <c r="F37" s="193"/>
    </row>
    <row r="38" spans="1:8" ht="15.75" customHeight="1">
      <c r="A38" s="95">
        <v>46190</v>
      </c>
      <c r="B38" s="19" t="s">
        <v>242</v>
      </c>
      <c r="C38" s="22" t="s">
        <v>243</v>
      </c>
      <c r="D38" s="24">
        <v>56</v>
      </c>
      <c r="E38" s="19"/>
      <c r="F38" s="193"/>
    </row>
    <row r="39" spans="1:8" ht="15.75" customHeight="1">
      <c r="A39" s="95">
        <v>46193</v>
      </c>
      <c r="B39" s="19" t="s">
        <v>240</v>
      </c>
      <c r="C39" s="22" t="s">
        <v>244</v>
      </c>
      <c r="D39" s="24">
        <v>86.4</v>
      </c>
      <c r="E39" s="19"/>
      <c r="F39" s="193"/>
    </row>
    <row r="40" spans="1:8" ht="15.75" customHeight="1">
      <c r="A40" s="95">
        <v>46199</v>
      </c>
      <c r="B40" s="19" t="s">
        <v>219</v>
      </c>
      <c r="C40" s="22" t="s">
        <v>23</v>
      </c>
      <c r="D40" s="24">
        <v>350</v>
      </c>
      <c r="E40" s="19" t="s">
        <v>19</v>
      </c>
      <c r="F40" s="193"/>
    </row>
    <row r="41" spans="1:8" ht="15.75" customHeight="1">
      <c r="A41" s="133">
        <v>46211</v>
      </c>
      <c r="B41" s="104" t="s">
        <v>204</v>
      </c>
      <c r="C41" s="134" t="s">
        <v>245</v>
      </c>
      <c r="D41" s="98">
        <v>34</v>
      </c>
      <c r="E41" s="104" t="s">
        <v>19</v>
      </c>
      <c r="F41" s="131"/>
    </row>
    <row r="42" spans="1:8" ht="15.75" customHeight="1">
      <c r="A42" s="133">
        <v>46216</v>
      </c>
      <c r="B42" s="104" t="s">
        <v>246</v>
      </c>
      <c r="C42" s="104" t="s">
        <v>247</v>
      </c>
      <c r="D42" s="98">
        <v>60.23</v>
      </c>
      <c r="E42" s="104" t="s">
        <v>62</v>
      </c>
    </row>
    <row r="43" spans="1:8" ht="15.75" customHeight="1">
      <c r="A43" s="195">
        <v>46214</v>
      </c>
      <c r="B43" s="194" t="s">
        <v>231</v>
      </c>
      <c r="C43" s="104" t="s">
        <v>248</v>
      </c>
      <c r="D43" s="98">
        <v>19.5</v>
      </c>
      <c r="E43" s="104" t="s">
        <v>62</v>
      </c>
    </row>
    <row r="44" spans="1:8" ht="15.75" customHeight="1">
      <c r="A44" s="157"/>
      <c r="B44" s="151"/>
      <c r="C44" s="104" t="s">
        <v>249</v>
      </c>
      <c r="D44" s="98">
        <v>4.99</v>
      </c>
      <c r="E44" s="104" t="s">
        <v>62</v>
      </c>
    </row>
    <row r="45" spans="1:8" ht="15.75" customHeight="1">
      <c r="A45" s="151"/>
      <c r="B45" s="104" t="s">
        <v>235</v>
      </c>
      <c r="C45" s="104" t="s">
        <v>250</v>
      </c>
      <c r="D45" s="98">
        <v>68.2</v>
      </c>
      <c r="E45" s="104" t="s">
        <v>62</v>
      </c>
      <c r="F45" s="135" t="s">
        <v>251</v>
      </c>
      <c r="G45" s="124"/>
      <c r="H45" s="124"/>
    </row>
    <row r="46" spans="1:8" ht="15.75" customHeight="1">
      <c r="A46" s="133">
        <v>46213</v>
      </c>
      <c r="B46" s="104" t="s">
        <v>219</v>
      </c>
      <c r="C46" s="104" t="s">
        <v>252</v>
      </c>
      <c r="D46" s="98">
        <v>380.89</v>
      </c>
      <c r="E46" s="104" t="s">
        <v>19</v>
      </c>
    </row>
    <row r="47" spans="1:8" ht="15.75" customHeight="1">
      <c r="A47" s="133">
        <v>46213</v>
      </c>
      <c r="B47" s="104" t="s">
        <v>253</v>
      </c>
      <c r="C47" s="104" t="s">
        <v>218</v>
      </c>
      <c r="D47" s="98">
        <v>50</v>
      </c>
      <c r="E47" s="104" t="s">
        <v>62</v>
      </c>
    </row>
    <row r="48" spans="1:8" ht="15.75" customHeight="1">
      <c r="A48" s="133">
        <v>46216</v>
      </c>
      <c r="B48" s="104" t="s">
        <v>253</v>
      </c>
      <c r="C48" s="104" t="s">
        <v>218</v>
      </c>
      <c r="D48" s="98">
        <v>100</v>
      </c>
      <c r="E48" s="104" t="s">
        <v>17</v>
      </c>
    </row>
    <row r="49" spans="1:5" ht="15.75" customHeight="1">
      <c r="A49" s="133">
        <v>46213</v>
      </c>
      <c r="B49" s="104" t="s">
        <v>219</v>
      </c>
      <c r="C49" s="134" t="s">
        <v>23</v>
      </c>
      <c r="D49" s="98">
        <v>700</v>
      </c>
      <c r="E49" s="104" t="s">
        <v>19</v>
      </c>
    </row>
    <row r="50" spans="1:5" ht="15.75" customHeight="1">
      <c r="A50" s="133">
        <v>46219</v>
      </c>
      <c r="B50" s="104" t="s">
        <v>219</v>
      </c>
      <c r="C50" s="134" t="s">
        <v>254</v>
      </c>
      <c r="D50" s="98">
        <v>440</v>
      </c>
      <c r="E50" s="104" t="s">
        <v>19</v>
      </c>
    </row>
    <row r="51" spans="1:5" ht="15.75" customHeight="1">
      <c r="A51" s="133">
        <v>46220</v>
      </c>
      <c r="B51" s="104" t="s">
        <v>253</v>
      </c>
      <c r="C51" s="104" t="s">
        <v>218</v>
      </c>
      <c r="D51" s="98">
        <v>50</v>
      </c>
      <c r="E51" s="104" t="s">
        <v>255</v>
      </c>
    </row>
    <row r="52" spans="1:5" ht="15.75" customHeight="1">
      <c r="A52" s="133">
        <v>46220</v>
      </c>
      <c r="B52" s="104" t="s">
        <v>219</v>
      </c>
      <c r="C52" s="134" t="s">
        <v>23</v>
      </c>
      <c r="D52" s="98">
        <v>472.5</v>
      </c>
      <c r="E52" s="104" t="s">
        <v>19</v>
      </c>
    </row>
    <row r="53" spans="1:5" ht="15.75" customHeight="1">
      <c r="A53" s="133">
        <v>46224</v>
      </c>
      <c r="B53" s="104" t="s">
        <v>219</v>
      </c>
      <c r="C53" s="134" t="s">
        <v>26</v>
      </c>
      <c r="D53" s="98">
        <v>217.92</v>
      </c>
      <c r="E53" s="104"/>
    </row>
    <row r="54" spans="1:5" ht="15.75" customHeight="1">
      <c r="A54" s="133">
        <v>46225</v>
      </c>
      <c r="B54" s="104" t="s">
        <v>219</v>
      </c>
      <c r="C54" s="134" t="s">
        <v>256</v>
      </c>
      <c r="D54" s="98">
        <v>28</v>
      </c>
      <c r="E54" s="104"/>
    </row>
    <row r="55" spans="1:5" ht="15.75" customHeight="1">
      <c r="A55" s="133">
        <v>46227</v>
      </c>
      <c r="B55" s="104" t="s">
        <v>219</v>
      </c>
      <c r="C55" s="134" t="s">
        <v>16</v>
      </c>
      <c r="D55" s="98">
        <v>225</v>
      </c>
      <c r="E55" s="104"/>
    </row>
    <row r="56" spans="1:5" ht="15.75" customHeight="1">
      <c r="A56" s="133">
        <v>46227</v>
      </c>
      <c r="B56" s="104" t="s">
        <v>242</v>
      </c>
      <c r="C56" s="134" t="s">
        <v>209</v>
      </c>
      <c r="D56" s="98">
        <v>50</v>
      </c>
      <c r="E56" s="104"/>
    </row>
    <row r="57" spans="1:5" ht="15.75" customHeight="1">
      <c r="A57" s="133">
        <v>46227</v>
      </c>
      <c r="B57" s="104" t="s">
        <v>257</v>
      </c>
      <c r="C57" s="134" t="s">
        <v>258</v>
      </c>
      <c r="D57" s="98">
        <v>14.5</v>
      </c>
      <c r="E57" s="104"/>
    </row>
    <row r="58" spans="1:5" ht="15.75" customHeight="1">
      <c r="A58" s="133">
        <v>46227</v>
      </c>
      <c r="B58" s="104" t="s">
        <v>257</v>
      </c>
      <c r="C58" s="134" t="s">
        <v>259</v>
      </c>
      <c r="D58" s="98">
        <v>6.5</v>
      </c>
      <c r="E58" s="104"/>
    </row>
    <row r="59" spans="1:5" ht="15.75" customHeight="1">
      <c r="A59" s="133">
        <v>46223</v>
      </c>
      <c r="B59" s="136" t="s">
        <v>260</v>
      </c>
      <c r="C59" s="136" t="s">
        <v>261</v>
      </c>
      <c r="D59" s="103">
        <v>400</v>
      </c>
      <c r="E59" s="104"/>
    </row>
    <row r="60" spans="1:5" ht="15.75" customHeight="1">
      <c r="A60" s="133">
        <v>46224</v>
      </c>
      <c r="B60" s="136" t="s">
        <v>214</v>
      </c>
      <c r="C60" s="136" t="s">
        <v>215</v>
      </c>
      <c r="D60" s="103">
        <v>130</v>
      </c>
      <c r="E60" s="104"/>
    </row>
    <row r="61" spans="1:5" ht="15.75" customHeight="1">
      <c r="A61" s="133">
        <v>46228</v>
      </c>
      <c r="B61" s="104" t="s">
        <v>242</v>
      </c>
      <c r="C61" s="134" t="s">
        <v>262</v>
      </c>
      <c r="D61" s="98">
        <v>187</v>
      </c>
      <c r="E61" s="104"/>
    </row>
    <row r="62" spans="1:5" ht="15.75" customHeight="1">
      <c r="A62" s="137">
        <v>46228</v>
      </c>
      <c r="B62" s="111" t="s">
        <v>219</v>
      </c>
      <c r="C62" s="138" t="s">
        <v>263</v>
      </c>
      <c r="D62" s="107">
        <v>330</v>
      </c>
      <c r="E62" s="111" t="s">
        <v>264</v>
      </c>
    </row>
    <row r="63" spans="1:5" ht="15.75" customHeight="1">
      <c r="A63" s="137">
        <v>46228</v>
      </c>
      <c r="B63" s="111" t="s">
        <v>219</v>
      </c>
      <c r="C63" s="138" t="s">
        <v>26</v>
      </c>
      <c r="D63" s="107">
        <v>109</v>
      </c>
      <c r="E63" s="111"/>
    </row>
    <row r="64" spans="1:5" ht="15.75" customHeight="1">
      <c r="A64" s="137">
        <v>46233</v>
      </c>
      <c r="B64" s="111" t="s">
        <v>219</v>
      </c>
      <c r="C64" s="139" t="s">
        <v>16</v>
      </c>
      <c r="D64" s="107">
        <v>368</v>
      </c>
      <c r="E64" s="111"/>
    </row>
    <row r="65" spans="1:5" ht="15.75" customHeight="1">
      <c r="A65" s="137">
        <v>46233</v>
      </c>
      <c r="B65" s="111" t="s">
        <v>219</v>
      </c>
      <c r="C65" s="140" t="s">
        <v>113</v>
      </c>
      <c r="D65" s="107">
        <v>448</v>
      </c>
      <c r="E65" s="111"/>
    </row>
    <row r="66" spans="1:5" ht="15.75" customHeight="1">
      <c r="A66" s="137">
        <v>46233</v>
      </c>
      <c r="B66" s="111" t="s">
        <v>219</v>
      </c>
      <c r="C66" s="139" t="s">
        <v>23</v>
      </c>
      <c r="D66" s="107">
        <v>1085</v>
      </c>
      <c r="E66" s="111"/>
    </row>
    <row r="67" spans="1:5" ht="15.75" customHeight="1">
      <c r="A67" s="137">
        <v>46233</v>
      </c>
      <c r="B67" s="111" t="s">
        <v>219</v>
      </c>
      <c r="C67" s="139" t="s">
        <v>16</v>
      </c>
      <c r="D67" s="107">
        <v>420</v>
      </c>
      <c r="E67" s="111"/>
    </row>
    <row r="68" spans="1:5" ht="15.75" customHeight="1">
      <c r="A68" s="137">
        <v>46236</v>
      </c>
      <c r="B68" s="111" t="s">
        <v>219</v>
      </c>
      <c r="C68" s="139" t="s">
        <v>27</v>
      </c>
      <c r="D68" s="107">
        <v>300</v>
      </c>
      <c r="E68" s="111"/>
    </row>
    <row r="69" spans="1:5" ht="15.75" customHeight="1">
      <c r="A69" s="137">
        <v>46236</v>
      </c>
      <c r="B69" s="111" t="s">
        <v>219</v>
      </c>
      <c r="C69" s="139" t="s">
        <v>26</v>
      </c>
      <c r="D69" s="107">
        <v>120</v>
      </c>
      <c r="E69" s="111"/>
    </row>
    <row r="70" spans="1:5" ht="15.75" customHeight="1">
      <c r="A70" s="137">
        <v>46236</v>
      </c>
      <c r="B70" s="111" t="s">
        <v>219</v>
      </c>
      <c r="C70" s="139" t="s">
        <v>133</v>
      </c>
      <c r="D70" s="107">
        <v>300</v>
      </c>
      <c r="E70" s="111"/>
    </row>
    <row r="71" spans="1:5" ht="15.75" customHeight="1">
      <c r="A71" s="137">
        <v>46239</v>
      </c>
      <c r="B71" s="111" t="s">
        <v>219</v>
      </c>
      <c r="C71" s="140" t="s">
        <v>113</v>
      </c>
      <c r="D71" s="107">
        <v>140</v>
      </c>
      <c r="E71" s="111"/>
    </row>
    <row r="72" spans="1:5" ht="15.75" customHeight="1">
      <c r="A72" s="137">
        <v>46233</v>
      </c>
      <c r="B72" s="111" t="s">
        <v>219</v>
      </c>
      <c r="C72" s="139" t="s">
        <v>174</v>
      </c>
      <c r="D72" s="107">
        <v>30</v>
      </c>
      <c r="E72" s="111"/>
    </row>
    <row r="73" spans="1:5" ht="15.75" customHeight="1">
      <c r="A73" s="137">
        <v>46233</v>
      </c>
      <c r="B73" s="111" t="s">
        <v>204</v>
      </c>
      <c r="C73" s="111" t="s">
        <v>265</v>
      </c>
      <c r="D73" s="107">
        <v>100</v>
      </c>
      <c r="E73" s="111"/>
    </row>
    <row r="74" spans="1:5" ht="15.75" customHeight="1">
      <c r="A74" s="137">
        <v>46233</v>
      </c>
      <c r="B74" s="111" t="s">
        <v>253</v>
      </c>
      <c r="C74" s="111" t="s">
        <v>218</v>
      </c>
      <c r="D74" s="107">
        <v>40</v>
      </c>
      <c r="E74" s="111" t="s">
        <v>255</v>
      </c>
    </row>
    <row r="75" spans="1:5" ht="15.75" customHeight="1">
      <c r="A75" s="137">
        <v>46240</v>
      </c>
      <c r="B75" s="111" t="s">
        <v>204</v>
      </c>
      <c r="C75" s="111" t="s">
        <v>250</v>
      </c>
      <c r="D75" s="107">
        <v>79.099999999999994</v>
      </c>
      <c r="E75" s="111" t="s">
        <v>19</v>
      </c>
    </row>
    <row r="76" spans="1:5" ht="15.75" customHeight="1">
      <c r="A76" s="191">
        <v>46240</v>
      </c>
      <c r="B76" s="196" t="s">
        <v>219</v>
      </c>
      <c r="C76" s="138" t="s">
        <v>23</v>
      </c>
      <c r="D76" s="107">
        <v>752</v>
      </c>
      <c r="E76" s="111" t="s">
        <v>255</v>
      </c>
    </row>
    <row r="77" spans="1:5" ht="15.75" customHeight="1">
      <c r="A77" s="157"/>
      <c r="B77" s="157"/>
      <c r="C77" s="138" t="s">
        <v>26</v>
      </c>
      <c r="D77" s="107">
        <v>163.80000000000001</v>
      </c>
      <c r="E77" s="111" t="s">
        <v>255</v>
      </c>
    </row>
    <row r="78" spans="1:5" ht="15.75" customHeight="1">
      <c r="A78" s="157"/>
      <c r="B78" s="157"/>
      <c r="C78" s="138" t="s">
        <v>16</v>
      </c>
      <c r="D78" s="107">
        <v>120</v>
      </c>
      <c r="E78" s="138" t="s">
        <v>19</v>
      </c>
    </row>
    <row r="79" spans="1:5" ht="15.75" customHeight="1">
      <c r="A79" s="151"/>
      <c r="B79" s="157"/>
      <c r="C79" s="138" t="s">
        <v>27</v>
      </c>
      <c r="D79" s="107">
        <v>165</v>
      </c>
      <c r="E79" s="138" t="s">
        <v>19</v>
      </c>
    </row>
    <row r="80" spans="1:5" ht="15.75" customHeight="1">
      <c r="A80" s="191">
        <v>46245</v>
      </c>
      <c r="B80" s="157"/>
      <c r="C80" s="138" t="s">
        <v>117</v>
      </c>
      <c r="D80" s="107">
        <v>64</v>
      </c>
      <c r="E80" s="196" t="s">
        <v>62</v>
      </c>
    </row>
    <row r="81" spans="1:6" ht="15.75" customHeight="1">
      <c r="A81" s="151"/>
      <c r="B81" s="151"/>
      <c r="C81" s="138" t="s">
        <v>175</v>
      </c>
      <c r="D81" s="107">
        <v>111</v>
      </c>
      <c r="E81" s="151"/>
    </row>
    <row r="82" spans="1:6" ht="15.75" customHeight="1">
      <c r="A82" s="137">
        <v>46240</v>
      </c>
      <c r="B82" s="111" t="s">
        <v>253</v>
      </c>
      <c r="C82" s="138" t="s">
        <v>218</v>
      </c>
      <c r="D82" s="107">
        <v>50</v>
      </c>
      <c r="E82" s="111" t="s">
        <v>62</v>
      </c>
    </row>
    <row r="83" spans="1:6" ht="15.75" customHeight="1">
      <c r="A83" s="137">
        <v>46246</v>
      </c>
      <c r="B83" s="111" t="s">
        <v>219</v>
      </c>
      <c r="C83" s="138" t="s">
        <v>113</v>
      </c>
      <c r="D83" s="107">
        <v>623</v>
      </c>
      <c r="E83" s="111" t="s">
        <v>19</v>
      </c>
    </row>
    <row r="84" spans="1:6" ht="15.75" customHeight="1">
      <c r="A84" s="141">
        <v>46247</v>
      </c>
      <c r="B84" s="111" t="s">
        <v>219</v>
      </c>
      <c r="C84" s="138" t="s">
        <v>26</v>
      </c>
      <c r="D84" s="107">
        <v>498.17</v>
      </c>
      <c r="E84" s="111" t="s">
        <v>62</v>
      </c>
    </row>
    <row r="85" spans="1:6" ht="15.75" customHeight="1">
      <c r="A85" s="111"/>
      <c r="B85" s="111" t="s">
        <v>219</v>
      </c>
      <c r="C85" s="142" t="s">
        <v>139</v>
      </c>
      <c r="D85" s="107">
        <v>35</v>
      </c>
      <c r="E85" s="111" t="s">
        <v>255</v>
      </c>
      <c r="F85" s="197" t="s">
        <v>123</v>
      </c>
    </row>
    <row r="86" spans="1:6" ht="15.75" customHeight="1">
      <c r="A86" s="111"/>
      <c r="B86" s="111" t="s">
        <v>266</v>
      </c>
      <c r="C86" s="111" t="s">
        <v>267</v>
      </c>
      <c r="D86" s="107">
        <v>67</v>
      </c>
      <c r="E86" s="111" t="s">
        <v>255</v>
      </c>
      <c r="F86" s="198"/>
    </row>
    <row r="87" spans="1:6" ht="15.75" customHeight="1">
      <c r="A87" s="137">
        <v>46247</v>
      </c>
      <c r="B87" s="111" t="s">
        <v>222</v>
      </c>
      <c r="C87" s="111" t="s">
        <v>268</v>
      </c>
      <c r="D87" s="107">
        <v>10</v>
      </c>
      <c r="E87" s="111"/>
      <c r="F87" t="s">
        <v>200</v>
      </c>
    </row>
    <row r="88" spans="1:6" ht="15.75" customHeight="1">
      <c r="A88" s="111"/>
      <c r="B88" s="111"/>
      <c r="C88" s="111"/>
      <c r="D88" s="111"/>
      <c r="E88" s="111"/>
    </row>
    <row r="89" spans="1:6" ht="15.75" customHeight="1">
      <c r="A89" s="111"/>
      <c r="B89" s="111"/>
      <c r="C89" s="111"/>
      <c r="D89" s="111"/>
      <c r="E89" s="111"/>
    </row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</sheetData>
  <mergeCells count="11">
    <mergeCell ref="F85:F86"/>
    <mergeCell ref="F3:F9"/>
    <mergeCell ref="F10:F12"/>
    <mergeCell ref="B43:B44"/>
    <mergeCell ref="A43:A45"/>
    <mergeCell ref="F13:F15"/>
    <mergeCell ref="F17:F40"/>
    <mergeCell ref="B76:B81"/>
    <mergeCell ref="E80:E81"/>
    <mergeCell ref="A80:A81"/>
    <mergeCell ref="A76:A79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/>
  </sheetViews>
  <sheetFormatPr defaultColWidth="14.42578125" defaultRowHeight="15" customHeight="1"/>
  <cols>
    <col min="1" max="1" width="10" customWidth="1"/>
    <col min="2" max="2" width="19.5703125" customWidth="1"/>
    <col min="3" max="3" width="17.85546875" customWidth="1"/>
    <col min="4" max="4" width="16.140625" customWidth="1"/>
    <col min="5" max="5" width="18" customWidth="1"/>
    <col min="6" max="11" width="8.85546875" customWidth="1"/>
  </cols>
  <sheetData>
    <row r="1" spans="1:5">
      <c r="A1" s="1" t="s">
        <v>6</v>
      </c>
      <c r="B1" s="1" t="s">
        <v>195</v>
      </c>
      <c r="C1" s="1" t="s">
        <v>269</v>
      </c>
      <c r="D1" s="1" t="s">
        <v>270</v>
      </c>
      <c r="E1" s="1" t="s">
        <v>271</v>
      </c>
    </row>
    <row r="2" spans="1:5">
      <c r="E2">
        <f>C2-D2</f>
        <v>0</v>
      </c>
    </row>
    <row r="3" spans="1:5">
      <c r="E3">
        <f>E2+C3-D3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/>
  </sheetViews>
  <sheetFormatPr defaultColWidth="14.42578125" defaultRowHeight="15" customHeight="1"/>
  <cols>
    <col min="1" max="1" width="22.140625" customWidth="1"/>
    <col min="2" max="2" width="18.5703125" customWidth="1"/>
    <col min="3" max="3" width="25.28515625" customWidth="1"/>
    <col min="4" max="4" width="22" customWidth="1"/>
    <col min="5" max="5" width="19.140625" customWidth="1"/>
    <col min="6" max="6" width="11.42578125" customWidth="1"/>
    <col min="7" max="11" width="8.85546875" customWidth="1"/>
  </cols>
  <sheetData>
    <row r="1" spans="1:6">
      <c r="A1" s="117" t="s">
        <v>7</v>
      </c>
      <c r="B1" s="117" t="s">
        <v>272</v>
      </c>
      <c r="C1" s="143" t="s">
        <v>273</v>
      </c>
      <c r="D1" s="144" t="s">
        <v>274</v>
      </c>
      <c r="E1" s="117" t="s">
        <v>275</v>
      </c>
      <c r="F1" s="117" t="s">
        <v>276</v>
      </c>
    </row>
    <row r="2" spans="1:6">
      <c r="C2" s="144"/>
    </row>
    <row r="3" spans="1:6">
      <c r="C3" s="144"/>
    </row>
    <row r="4" spans="1:6">
      <c r="C4" s="144"/>
    </row>
    <row r="5" spans="1:6">
      <c r="C5" s="144"/>
    </row>
    <row r="6" spans="1:6">
      <c r="C6" s="144"/>
    </row>
    <row r="7" spans="1:6">
      <c r="C7" s="144"/>
    </row>
    <row r="8" spans="1:6">
      <c r="C8" s="144"/>
    </row>
    <row r="9" spans="1:6">
      <c r="C9" s="144"/>
    </row>
    <row r="10" spans="1:6">
      <c r="C10" s="144"/>
    </row>
    <row r="11" spans="1:6">
      <c r="C11" s="144"/>
    </row>
    <row r="12" spans="1:6">
      <c r="C12" s="144"/>
    </row>
    <row r="13" spans="1:6">
      <c r="C13" s="144"/>
    </row>
    <row r="14" spans="1:6">
      <c r="C14" s="144"/>
    </row>
    <row r="15" spans="1:6">
      <c r="C15" s="144"/>
    </row>
    <row r="16" spans="1:6">
      <c r="C16" s="144"/>
    </row>
    <row r="17" spans="3:3">
      <c r="C17" s="144"/>
    </row>
    <row r="18" spans="3:3">
      <c r="C18" s="144"/>
    </row>
    <row r="19" spans="3:3">
      <c r="C19" s="144"/>
    </row>
    <row r="20" spans="3:3">
      <c r="C20" s="144"/>
    </row>
    <row r="21" spans="3:3" ht="15.75" customHeight="1">
      <c r="C21" s="144"/>
    </row>
    <row r="22" spans="3:3" ht="15.75" customHeight="1">
      <c r="C22" s="144"/>
    </row>
    <row r="23" spans="3:3" ht="15.75" customHeight="1">
      <c r="C23" s="144"/>
    </row>
    <row r="24" spans="3:3" ht="15.75" customHeight="1">
      <c r="C24" s="144"/>
    </row>
    <row r="25" spans="3:3" ht="15.75" customHeight="1">
      <c r="C25" s="144"/>
    </row>
    <row r="26" spans="3:3" ht="15.75" customHeight="1">
      <c r="C26" s="144"/>
    </row>
    <row r="27" spans="3:3" ht="15.75" customHeight="1">
      <c r="C27" s="144"/>
    </row>
    <row r="28" spans="3:3" ht="15.75" customHeight="1">
      <c r="C28" s="144"/>
    </row>
    <row r="29" spans="3:3" ht="15.75" customHeight="1">
      <c r="C29" s="144"/>
    </row>
    <row r="30" spans="3:3" ht="15.75" customHeight="1">
      <c r="C30" s="144"/>
    </row>
    <row r="31" spans="3:3" ht="15.75" customHeight="1">
      <c r="C31" s="144"/>
    </row>
    <row r="32" spans="3:3" ht="15.75" customHeight="1">
      <c r="C32" s="144"/>
    </row>
    <row r="33" spans="3:3" ht="15.75" customHeight="1">
      <c r="C33" s="144"/>
    </row>
    <row r="34" spans="3:3" ht="15.75" customHeight="1">
      <c r="C34" s="144"/>
    </row>
    <row r="35" spans="3:3" ht="15.75" customHeight="1">
      <c r="C35" s="144"/>
    </row>
    <row r="36" spans="3:3" ht="15.75" customHeight="1">
      <c r="C36" s="144"/>
    </row>
    <row r="37" spans="3:3" ht="15.75" customHeight="1">
      <c r="C37" s="144"/>
    </row>
    <row r="38" spans="3:3" ht="15.75" customHeight="1">
      <c r="C38" s="144"/>
    </row>
    <row r="39" spans="3:3" ht="15.75" customHeight="1">
      <c r="C39" s="144"/>
    </row>
    <row r="40" spans="3:3" ht="15.75" customHeight="1">
      <c r="C40" s="144"/>
    </row>
    <row r="41" spans="3:3" ht="15.75" customHeight="1">
      <c r="C41" s="144"/>
    </row>
    <row r="42" spans="3:3" ht="15.75" customHeight="1">
      <c r="C42" s="144"/>
    </row>
    <row r="43" spans="3:3" ht="15.75" customHeight="1">
      <c r="C43" s="144"/>
    </row>
    <row r="44" spans="3:3" ht="15.75" customHeight="1">
      <c r="C44" s="144"/>
    </row>
    <row r="45" spans="3:3" ht="15.75" customHeight="1">
      <c r="C45" s="144"/>
    </row>
    <row r="46" spans="3:3" ht="15.75" customHeight="1">
      <c r="C46" s="144"/>
    </row>
    <row r="47" spans="3:3" ht="15.75" customHeight="1">
      <c r="C47" s="144"/>
    </row>
    <row r="48" spans="3:3" ht="15.75" customHeight="1">
      <c r="C48" s="144"/>
    </row>
    <row r="49" spans="3:3" ht="15.75" customHeight="1">
      <c r="C49" s="144"/>
    </row>
    <row r="50" spans="3:3" ht="15.75" customHeight="1">
      <c r="C50" s="144"/>
    </row>
    <row r="51" spans="3:3" ht="15.75" customHeight="1">
      <c r="C51" s="144"/>
    </row>
    <row r="52" spans="3:3" ht="15.75" customHeight="1">
      <c r="C52" s="144"/>
    </row>
    <row r="53" spans="3:3" ht="15.75" customHeight="1">
      <c r="C53" s="144"/>
    </row>
    <row r="54" spans="3:3" ht="15.75" customHeight="1">
      <c r="C54" s="144"/>
    </row>
    <row r="55" spans="3:3" ht="15.75" customHeight="1">
      <c r="C55" s="144"/>
    </row>
    <row r="56" spans="3:3" ht="15.75" customHeight="1">
      <c r="C56" s="144"/>
    </row>
    <row r="57" spans="3:3" ht="15.75" customHeight="1">
      <c r="C57" s="144"/>
    </row>
    <row r="58" spans="3:3" ht="15.75" customHeight="1">
      <c r="C58" s="144"/>
    </row>
    <row r="59" spans="3:3" ht="15.75" customHeight="1">
      <c r="C59" s="144"/>
    </row>
    <row r="60" spans="3:3" ht="15.75" customHeight="1">
      <c r="C60" s="144"/>
    </row>
    <row r="61" spans="3:3" ht="15.75" customHeight="1">
      <c r="C61" s="144"/>
    </row>
    <row r="62" spans="3:3" ht="15.75" customHeight="1">
      <c r="C62" s="144"/>
    </row>
    <row r="63" spans="3:3" ht="15.75" customHeight="1">
      <c r="C63" s="144"/>
    </row>
    <row r="64" spans="3:3" ht="15.75" customHeight="1">
      <c r="C64" s="144"/>
    </row>
    <row r="65" spans="3:3" ht="15.75" customHeight="1">
      <c r="C65" s="144"/>
    </row>
    <row r="66" spans="3:3" ht="15.75" customHeight="1">
      <c r="C66" s="144"/>
    </row>
    <row r="67" spans="3:3" ht="15.75" customHeight="1">
      <c r="C67" s="144"/>
    </row>
    <row r="68" spans="3:3" ht="15.75" customHeight="1">
      <c r="C68" s="144"/>
    </row>
    <row r="69" spans="3:3" ht="15.75" customHeight="1">
      <c r="C69" s="144"/>
    </row>
    <row r="70" spans="3:3" ht="15.75" customHeight="1">
      <c r="C70" s="144"/>
    </row>
    <row r="71" spans="3:3" ht="15.75" customHeight="1">
      <c r="C71" s="144"/>
    </row>
    <row r="72" spans="3:3" ht="15.75" customHeight="1">
      <c r="C72" s="144"/>
    </row>
    <row r="73" spans="3:3" ht="15.75" customHeight="1">
      <c r="C73" s="144"/>
    </row>
    <row r="74" spans="3:3" ht="15.75" customHeight="1">
      <c r="C74" s="144"/>
    </row>
    <row r="75" spans="3:3" ht="15.75" customHeight="1">
      <c r="C75" s="144"/>
    </row>
    <row r="76" spans="3:3" ht="15.75" customHeight="1">
      <c r="C76" s="144"/>
    </row>
    <row r="77" spans="3:3" ht="15.75" customHeight="1">
      <c r="C77" s="144"/>
    </row>
    <row r="78" spans="3:3" ht="15.75" customHeight="1">
      <c r="C78" s="144"/>
    </row>
    <row r="79" spans="3:3" ht="15.75" customHeight="1">
      <c r="C79" s="144"/>
    </row>
    <row r="80" spans="3:3" ht="15.75" customHeight="1">
      <c r="C80" s="144"/>
    </row>
    <row r="81" spans="3:3" ht="15.75" customHeight="1">
      <c r="C81" s="144"/>
    </row>
    <row r="82" spans="3:3" ht="15.75" customHeight="1">
      <c r="C82" s="144"/>
    </row>
    <row r="83" spans="3:3" ht="15.75" customHeight="1">
      <c r="C83" s="144"/>
    </row>
    <row r="84" spans="3:3" ht="15.75" customHeight="1">
      <c r="C84" s="144"/>
    </row>
    <row r="85" spans="3:3" ht="15.75" customHeight="1">
      <c r="C85" s="144"/>
    </row>
    <row r="86" spans="3:3" ht="15.75" customHeight="1">
      <c r="C86" s="144"/>
    </row>
    <row r="87" spans="3:3" ht="15.75" customHeight="1">
      <c r="C87" s="144"/>
    </row>
    <row r="88" spans="3:3" ht="15.75" customHeight="1">
      <c r="C88" s="144"/>
    </row>
    <row r="89" spans="3:3" ht="15.75" customHeight="1">
      <c r="C89" s="144"/>
    </row>
    <row r="90" spans="3:3" ht="15.75" customHeight="1">
      <c r="C90" s="144"/>
    </row>
    <row r="91" spans="3:3" ht="15.75" customHeight="1">
      <c r="C91" s="144"/>
    </row>
    <row r="92" spans="3:3" ht="15.75" customHeight="1">
      <c r="C92" s="144"/>
    </row>
    <row r="93" spans="3:3" ht="15.75" customHeight="1">
      <c r="C93" s="144"/>
    </row>
    <row r="94" spans="3:3" ht="15.75" customHeight="1">
      <c r="C94" s="144"/>
    </row>
    <row r="95" spans="3:3" ht="15.75" customHeight="1">
      <c r="C95" s="144"/>
    </row>
    <row r="96" spans="3:3" ht="15.75" customHeight="1">
      <c r="C96" s="144"/>
    </row>
    <row r="97" spans="3:3" ht="15.75" customHeight="1">
      <c r="C97" s="144"/>
    </row>
    <row r="98" spans="3:3" ht="15.75" customHeight="1">
      <c r="C98" s="144"/>
    </row>
    <row r="99" spans="3:3" ht="15.75" customHeight="1">
      <c r="C99" s="144"/>
    </row>
    <row r="100" spans="3:3" ht="15.75" customHeight="1">
      <c r="C100" s="144"/>
    </row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1" width="45" customWidth="1"/>
    <col min="2" max="2" width="11.140625" customWidth="1"/>
    <col min="3" max="3" width="13.42578125" customWidth="1"/>
    <col min="4" max="4" width="53.5703125" customWidth="1"/>
    <col min="5" max="5" width="37.5703125" customWidth="1"/>
    <col min="6" max="6" width="21" customWidth="1"/>
    <col min="7" max="7" width="17" customWidth="1"/>
    <col min="8" max="11" width="8.85546875" customWidth="1"/>
  </cols>
  <sheetData>
    <row r="1" spans="1:7">
      <c r="A1" s="1" t="s">
        <v>148</v>
      </c>
      <c r="B1" s="1" t="s">
        <v>277</v>
      </c>
      <c r="C1" s="1" t="s">
        <v>272</v>
      </c>
      <c r="D1" s="1" t="s">
        <v>278</v>
      </c>
      <c r="E1" s="1" t="s">
        <v>279</v>
      </c>
      <c r="F1" s="1" t="s">
        <v>280</v>
      </c>
      <c r="G1" s="1" t="s">
        <v>281</v>
      </c>
    </row>
    <row r="2" spans="1:7">
      <c r="A2" s="145" t="s">
        <v>152</v>
      </c>
      <c r="E2" t="s">
        <v>282</v>
      </c>
      <c r="F2" s="119"/>
    </row>
    <row r="3" spans="1:7">
      <c r="A3" s="145" t="s">
        <v>153</v>
      </c>
      <c r="E3" t="s">
        <v>26</v>
      </c>
      <c r="F3" s="119"/>
    </row>
    <row r="4" spans="1:7">
      <c r="A4" s="145" t="s">
        <v>155</v>
      </c>
      <c r="E4" t="s">
        <v>23</v>
      </c>
      <c r="F4" s="119"/>
    </row>
    <row r="5" spans="1:7">
      <c r="A5" s="145" t="s">
        <v>157</v>
      </c>
      <c r="E5" t="s">
        <v>223</v>
      </c>
      <c r="F5" s="119"/>
    </row>
    <row r="6" spans="1:7">
      <c r="A6" s="145" t="s">
        <v>158</v>
      </c>
      <c r="E6" t="s">
        <v>26</v>
      </c>
      <c r="F6" s="119"/>
    </row>
    <row r="7" spans="1:7">
      <c r="A7" s="145" t="s">
        <v>283</v>
      </c>
      <c r="B7" t="s">
        <v>284</v>
      </c>
      <c r="C7" s="145">
        <v>8530674800</v>
      </c>
      <c r="D7" s="119" t="s">
        <v>285</v>
      </c>
      <c r="E7" t="s">
        <v>286</v>
      </c>
      <c r="F7" s="119" t="s">
        <v>19</v>
      </c>
    </row>
    <row r="8" spans="1:7">
      <c r="A8" s="145" t="s">
        <v>287</v>
      </c>
      <c r="B8" t="s">
        <v>288</v>
      </c>
      <c r="C8" t="s">
        <v>289</v>
      </c>
      <c r="D8" t="s">
        <v>290</v>
      </c>
      <c r="E8" t="s">
        <v>205</v>
      </c>
      <c r="F8" s="119" t="s">
        <v>19</v>
      </c>
    </row>
    <row r="9" spans="1:7">
      <c r="A9" s="145" t="s">
        <v>291</v>
      </c>
      <c r="D9" t="s">
        <v>292</v>
      </c>
      <c r="E9" t="s">
        <v>209</v>
      </c>
      <c r="F9" s="119" t="s">
        <v>19</v>
      </c>
    </row>
    <row r="10" spans="1:7">
      <c r="A10" s="145" t="s">
        <v>293</v>
      </c>
      <c r="C10" t="s">
        <v>294</v>
      </c>
      <c r="D10" t="s">
        <v>295</v>
      </c>
      <c r="E10" t="s">
        <v>223</v>
      </c>
      <c r="F10" s="119" t="s">
        <v>296</v>
      </c>
    </row>
    <row r="11" spans="1:7">
      <c r="A11" s="145" t="s">
        <v>297</v>
      </c>
      <c r="C11" t="s">
        <v>298</v>
      </c>
      <c r="D11" t="s">
        <v>299</v>
      </c>
      <c r="E11" t="s">
        <v>26</v>
      </c>
      <c r="F11" s="119" t="s">
        <v>62</v>
      </c>
    </row>
    <row r="12" spans="1:7">
      <c r="A12" s="145" t="s"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/>
  </sheetViews>
  <sheetFormatPr defaultColWidth="14.42578125" defaultRowHeight="15" customHeight="1"/>
  <cols>
    <col min="1" max="2" width="16" customWidth="1"/>
    <col min="3" max="3" width="15" customWidth="1"/>
    <col min="4" max="4" width="11" customWidth="1"/>
    <col min="5" max="5" width="12" customWidth="1"/>
    <col min="6" max="6" width="20" customWidth="1"/>
    <col min="7" max="11" width="8.85546875" customWidth="1"/>
  </cols>
  <sheetData>
    <row r="1" spans="1:6">
      <c r="A1" s="1" t="s">
        <v>301</v>
      </c>
      <c r="B1" s="1" t="s">
        <v>148</v>
      </c>
      <c r="C1" s="1" t="s">
        <v>195</v>
      </c>
      <c r="D1" s="1" t="s">
        <v>1</v>
      </c>
      <c r="E1" s="1" t="s">
        <v>302</v>
      </c>
      <c r="F1" s="1" t="s">
        <v>303</v>
      </c>
    </row>
    <row r="2" spans="1:6">
      <c r="A2" s="146">
        <v>46224</v>
      </c>
      <c r="B2" t="s">
        <v>304</v>
      </c>
      <c r="C2" t="s">
        <v>215</v>
      </c>
      <c r="D2" s="2">
        <v>130</v>
      </c>
      <c r="E2" t="s">
        <v>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/>
  </sheetViews>
  <sheetFormatPr defaultColWidth="14.42578125" defaultRowHeight="15" customHeight="1"/>
  <cols>
    <col min="1" max="1" width="13" customWidth="1"/>
    <col min="2" max="2" width="15" customWidth="1"/>
    <col min="3" max="3" width="11" customWidth="1"/>
    <col min="4" max="4" width="16" customWidth="1"/>
    <col min="5" max="5" width="12" customWidth="1"/>
    <col min="6" max="6" width="22" customWidth="1"/>
    <col min="7" max="11" width="8.85546875" customWidth="1"/>
  </cols>
  <sheetData>
    <row r="1" spans="1:6">
      <c r="A1" s="1" t="s">
        <v>7</v>
      </c>
      <c r="B1" s="1" t="s">
        <v>195</v>
      </c>
      <c r="C1" s="1" t="s">
        <v>1</v>
      </c>
      <c r="D1" s="1" t="s">
        <v>301</v>
      </c>
      <c r="E1" s="1" t="s">
        <v>302</v>
      </c>
      <c r="F1" s="1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1" width="10" customWidth="1"/>
    <col min="2" max="3" width="12" customWidth="1"/>
    <col min="4" max="4" width="16" customWidth="1"/>
    <col min="5" max="5" width="18" customWidth="1"/>
    <col min="6" max="6" width="23" customWidth="1"/>
    <col min="7" max="7" width="19" customWidth="1"/>
    <col min="8" max="11" width="8.85546875" customWidth="1"/>
  </cols>
  <sheetData>
    <row r="1" spans="1:7">
      <c r="A1" s="1" t="s">
        <v>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</row>
    <row r="2" spans="1:7">
      <c r="G2">
        <f>E2-F2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/>
  </sheetViews>
  <sheetFormatPr defaultColWidth="14.42578125" defaultRowHeight="15" customHeight="1"/>
  <cols>
    <col min="1" max="3" width="10.7109375" customWidth="1"/>
    <col min="4" max="4" width="19" customWidth="1"/>
    <col min="5" max="5" width="17.28515625" customWidth="1"/>
    <col min="6" max="11" width="10.7109375" customWidth="1"/>
  </cols>
  <sheetData>
    <row r="1" spans="1:5">
      <c r="A1" s="199" t="s">
        <v>313</v>
      </c>
      <c r="B1" s="200"/>
      <c r="C1" s="200"/>
      <c r="D1" s="201"/>
    </row>
    <row r="2" spans="1:5" ht="18.75" customHeight="1">
      <c r="B2" t="s">
        <v>314</v>
      </c>
      <c r="C2" t="s">
        <v>315</v>
      </c>
      <c r="D2" t="s">
        <v>316</v>
      </c>
    </row>
    <row r="3" spans="1:5">
      <c r="A3" s="192" t="s">
        <v>317</v>
      </c>
      <c r="B3" s="147">
        <v>46142</v>
      </c>
      <c r="C3" s="148">
        <v>4014</v>
      </c>
      <c r="D3" s="149" t="s">
        <v>318</v>
      </c>
      <c r="E3" t="s">
        <v>197</v>
      </c>
    </row>
    <row r="4" spans="1:5">
      <c r="A4" s="193"/>
      <c r="B4" s="146">
        <v>46162</v>
      </c>
      <c r="C4" s="148">
        <v>710</v>
      </c>
      <c r="D4" s="192" t="s">
        <v>19</v>
      </c>
      <c r="E4" t="s">
        <v>319</v>
      </c>
    </row>
    <row r="5" spans="1:5">
      <c r="A5" s="193"/>
      <c r="B5" s="146">
        <v>46169</v>
      </c>
      <c r="C5" s="148">
        <v>296.67</v>
      </c>
      <c r="D5" s="193"/>
      <c r="E5" t="s">
        <v>320</v>
      </c>
    </row>
    <row r="6" spans="1:5">
      <c r="A6" s="193"/>
      <c r="B6" s="146">
        <v>46228</v>
      </c>
      <c r="C6" s="148">
        <v>800</v>
      </c>
      <c r="D6" s="193"/>
      <c r="E6" t="s">
        <v>321</v>
      </c>
    </row>
    <row r="7" spans="1:5">
      <c r="A7" s="193"/>
      <c r="B7" s="146">
        <v>46234</v>
      </c>
      <c r="C7" s="148">
        <v>100</v>
      </c>
      <c r="D7" s="193"/>
      <c r="E7" t="s">
        <v>321</v>
      </c>
    </row>
    <row r="8" spans="1:5">
      <c r="C8" s="148">
        <v>29.9</v>
      </c>
      <c r="E8" t="s">
        <v>322</v>
      </c>
    </row>
    <row r="9" spans="1:5">
      <c r="C9" s="148">
        <v>45</v>
      </c>
      <c r="E9" t="s">
        <v>323</v>
      </c>
    </row>
    <row r="10" spans="1:5">
      <c r="C10" s="148">
        <v>35</v>
      </c>
      <c r="E10" t="s">
        <v>139</v>
      </c>
    </row>
    <row r="11" spans="1:5">
      <c r="C11" s="2">
        <v>22</v>
      </c>
      <c r="E11" t="s">
        <v>324</v>
      </c>
    </row>
    <row r="12" spans="1:5">
      <c r="C12" s="2">
        <f>C3+C4+C5+C6+C7+C8+C9</f>
        <v>5995.57</v>
      </c>
    </row>
    <row r="13" spans="1:5">
      <c r="C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D1"/>
    <mergeCell ref="A3:A7"/>
    <mergeCell ref="D4:D7"/>
  </mergeCell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2578125" defaultRowHeight="15" customHeight="1"/>
  <cols>
    <col min="1" max="11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Dashboard</vt:lpstr>
      <vt:lpstr>Vendas</vt:lpstr>
      <vt:lpstr>Compras</vt:lpstr>
      <vt:lpstr>Estoque</vt:lpstr>
      <vt:lpstr>Despesas</vt:lpstr>
      <vt:lpstr>Fluxo_Caixa</vt:lpstr>
      <vt:lpstr>Clientes</vt:lpstr>
      <vt:lpstr>Fornecedores</vt:lpstr>
      <vt:lpstr>Contas_Pagar</vt:lpstr>
      <vt:lpstr>Contas_Receber</vt:lpstr>
      <vt:lpstr>Entregas</vt:lpstr>
      <vt:lpstr>INVESTIMENTO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Roberio Ribeiro</cp:lastModifiedBy>
  <dcterms:created xsi:type="dcterms:W3CDTF">2026-06-09T14:46:23Z</dcterms:created>
  <dcterms:modified xsi:type="dcterms:W3CDTF">2026-08-18T16:45:30Z</dcterms:modified>
</cp:coreProperties>
</file>